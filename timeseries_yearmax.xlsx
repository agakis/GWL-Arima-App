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0 Code\Groundwater Level Prediction Models\WebApp\"/>
    </mc:Choice>
  </mc:AlternateContent>
  <xr:revisionPtr revIDLastSave="0" documentId="13_ncr:1_{302B5DAA-0D16-4275-98C9-C5F1BE0ED17A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timeseries_yearmax" sheetId="1" r:id="rId1"/>
    <sheet name="Sheet1" sheetId="2" r:id="rId2"/>
    <sheet name="Sheet2" sheetId="3" r:id="rId3"/>
  </sheets>
  <definedNames>
    <definedName name="ChartValues" localSheetId="1">_xlfn.ANCHORARRAY(Sheet1!$D$63)</definedName>
    <definedName name="ChartYears" localSheetId="1">_xlfn.ANCHORARRAY(Sheet1!$D$62)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50" i="2" l="1"/>
  <c r="R52" i="2"/>
  <c r="R50" i="2"/>
  <c r="B6" i="3" l="1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4" i="3"/>
  <c r="B5" i="3"/>
  <c r="B3" i="3"/>
  <c r="C1" i="3"/>
  <c r="B1" i="3"/>
  <c r="E42" i="2"/>
  <c r="U56" i="2"/>
  <c r="J52" i="2"/>
  <c r="CB34" i="2" l="1"/>
  <c r="CB35" i="2"/>
  <c r="CB36" i="2"/>
  <c r="CB37" i="2"/>
  <c r="CB38" i="2"/>
  <c r="CB39" i="2"/>
  <c r="CB40" i="2"/>
  <c r="CB41" i="2"/>
  <c r="CB42" i="2"/>
  <c r="CB43" i="2"/>
  <c r="CB44" i="2"/>
  <c r="CB45" i="2"/>
  <c r="CB46" i="2"/>
  <c r="CB47" i="2"/>
  <c r="CB48" i="2"/>
  <c r="CB49" i="2"/>
  <c r="CB50" i="2"/>
  <c r="CB51" i="2"/>
  <c r="CB52" i="2"/>
  <c r="CB53" i="2"/>
  <c r="CB54" i="2"/>
  <c r="CB55" i="2"/>
  <c r="CB56" i="2"/>
  <c r="CB57" i="2"/>
  <c r="CB33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Q59" i="2"/>
  <c r="AR59" i="2"/>
  <c r="AS59" i="2"/>
  <c r="AT59" i="2"/>
  <c r="AU59" i="2"/>
  <c r="AV59" i="2"/>
  <c r="AW59" i="2"/>
  <c r="AX59" i="2"/>
  <c r="AY59" i="2"/>
  <c r="AZ59" i="2"/>
  <c r="BA59" i="2"/>
  <c r="BB59" i="2"/>
  <c r="BC59" i="2"/>
  <c r="BD59" i="2"/>
  <c r="BE59" i="2"/>
  <c r="BF59" i="2"/>
  <c r="BG59" i="2"/>
  <c r="BH59" i="2"/>
  <c r="BI59" i="2"/>
  <c r="BJ59" i="2"/>
  <c r="BK59" i="2"/>
  <c r="BL59" i="2"/>
  <c r="BM59" i="2"/>
  <c r="BN59" i="2"/>
  <c r="BO59" i="2"/>
  <c r="BP59" i="2"/>
  <c r="BQ59" i="2"/>
  <c r="BR59" i="2"/>
  <c r="BS59" i="2"/>
  <c r="BT59" i="2"/>
  <c r="BU59" i="2"/>
  <c r="BV59" i="2"/>
  <c r="BW59" i="2"/>
  <c r="BX59" i="2"/>
  <c r="BY59" i="2"/>
  <c r="BZ59" i="2"/>
  <c r="CA59" i="2"/>
  <c r="D59" i="2"/>
  <c r="E60" i="2" a="1"/>
  <c r="E60" i="2" s="1"/>
  <c r="F60" i="2" a="1"/>
  <c r="F60" i="2" s="1"/>
  <c r="G60" i="2" a="1"/>
  <c r="G60" i="2" s="1"/>
  <c r="H60" i="2" a="1"/>
  <c r="H60" i="2" s="1"/>
  <c r="I60" i="2" a="1"/>
  <c r="I60" i="2" s="1"/>
  <c r="J60" i="2" a="1"/>
  <c r="J60" i="2" s="1"/>
  <c r="K60" i="2" a="1"/>
  <c r="K60" i="2" s="1"/>
  <c r="L60" i="2" a="1"/>
  <c r="L60" i="2" s="1"/>
  <c r="M60" i="2" a="1"/>
  <c r="M60" i="2" s="1"/>
  <c r="N60" i="2" a="1"/>
  <c r="N60" i="2" s="1"/>
  <c r="O60" i="2" a="1"/>
  <c r="O60" i="2" s="1"/>
  <c r="P60" i="2" a="1"/>
  <c r="P60" i="2" s="1"/>
  <c r="Q60" i="2" a="1"/>
  <c r="Q60" i="2" s="1"/>
  <c r="R60" i="2" a="1"/>
  <c r="R60" i="2" s="1"/>
  <c r="S60" i="2" a="1"/>
  <c r="S60" i="2" s="1"/>
  <c r="T60" i="2" a="1"/>
  <c r="T60" i="2" s="1"/>
  <c r="U60" i="2" a="1"/>
  <c r="U60" i="2" s="1"/>
  <c r="V60" i="2" a="1"/>
  <c r="V60" i="2" s="1"/>
  <c r="W60" i="2" a="1"/>
  <c r="W60" i="2" s="1"/>
  <c r="X60" i="2" a="1"/>
  <c r="X60" i="2" s="1"/>
  <c r="Y60" i="2" a="1"/>
  <c r="Y60" i="2" s="1"/>
  <c r="Z60" i="2" a="1"/>
  <c r="Z60" i="2" s="1"/>
  <c r="AA60" i="2" a="1"/>
  <c r="AA60" i="2" s="1"/>
  <c r="AB60" i="2" a="1"/>
  <c r="AB60" i="2" s="1"/>
  <c r="AC60" i="2" a="1"/>
  <c r="AC60" i="2" s="1"/>
  <c r="AD60" i="2" a="1"/>
  <c r="AD60" i="2" s="1"/>
  <c r="AE60" i="2" a="1"/>
  <c r="AE60" i="2" s="1"/>
  <c r="AF60" i="2" a="1"/>
  <c r="AF60" i="2" s="1"/>
  <c r="AG60" i="2" a="1"/>
  <c r="AG60" i="2" s="1"/>
  <c r="AH60" i="2" a="1"/>
  <c r="AH60" i="2" s="1"/>
  <c r="AI60" i="2" a="1"/>
  <c r="AI60" i="2" s="1"/>
  <c r="AJ60" i="2" a="1"/>
  <c r="AJ60" i="2" s="1"/>
  <c r="AK60" i="2" a="1"/>
  <c r="AK60" i="2" s="1"/>
  <c r="AL60" i="2" a="1"/>
  <c r="AL60" i="2" s="1"/>
  <c r="AM60" i="2" a="1"/>
  <c r="AM60" i="2" s="1"/>
  <c r="AN60" i="2" a="1"/>
  <c r="AN60" i="2" s="1"/>
  <c r="AO60" i="2" a="1"/>
  <c r="AO60" i="2" s="1"/>
  <c r="AP60" i="2" a="1"/>
  <c r="AP60" i="2" s="1"/>
  <c r="AQ60" i="2" a="1"/>
  <c r="AQ60" i="2" s="1"/>
  <c r="AR60" i="2" a="1"/>
  <c r="AR60" i="2" s="1"/>
  <c r="AS60" i="2" a="1"/>
  <c r="AS60" i="2" s="1"/>
  <c r="AT60" i="2" a="1"/>
  <c r="AT60" i="2" s="1"/>
  <c r="AU60" i="2" a="1"/>
  <c r="AU60" i="2" s="1"/>
  <c r="AV60" i="2" a="1"/>
  <c r="AV60" i="2" s="1"/>
  <c r="AW60" i="2" a="1"/>
  <c r="AW60" i="2" s="1"/>
  <c r="AX60" i="2" a="1"/>
  <c r="AX60" i="2" s="1"/>
  <c r="AY60" i="2" a="1"/>
  <c r="AY60" i="2" s="1"/>
  <c r="AZ60" i="2" a="1"/>
  <c r="AZ60" i="2" s="1"/>
  <c r="BA60" i="2" a="1"/>
  <c r="BA60" i="2" s="1"/>
  <c r="BB60" i="2" a="1"/>
  <c r="BB60" i="2" s="1"/>
  <c r="BC60" i="2" a="1"/>
  <c r="BC60" i="2" s="1"/>
  <c r="BD60" i="2" a="1"/>
  <c r="BD60" i="2" s="1"/>
  <c r="BE60" i="2" a="1"/>
  <c r="BE60" i="2" s="1"/>
  <c r="BF60" i="2" a="1"/>
  <c r="BF60" i="2" s="1"/>
  <c r="BG60" i="2" a="1"/>
  <c r="BG60" i="2" s="1"/>
  <c r="BH60" i="2" a="1"/>
  <c r="BH60" i="2" s="1"/>
  <c r="BI60" i="2" a="1"/>
  <c r="BI60" i="2" s="1"/>
  <c r="BJ60" i="2" a="1"/>
  <c r="BJ60" i="2" s="1"/>
  <c r="BK60" i="2" a="1"/>
  <c r="BK60" i="2" s="1"/>
  <c r="BL60" i="2" a="1"/>
  <c r="BL60" i="2" s="1"/>
  <c r="BM60" i="2" a="1"/>
  <c r="BM60" i="2" s="1"/>
  <c r="BN60" i="2" a="1"/>
  <c r="BN60" i="2" s="1"/>
  <c r="BO60" i="2" a="1"/>
  <c r="BO60" i="2" s="1"/>
  <c r="BP60" i="2" a="1"/>
  <c r="BP60" i="2" s="1"/>
  <c r="BQ60" i="2" a="1"/>
  <c r="BQ60" i="2" s="1"/>
  <c r="BR60" i="2" a="1"/>
  <c r="BR60" i="2" s="1"/>
  <c r="BS60" i="2" a="1"/>
  <c r="BS60" i="2" s="1"/>
  <c r="BT60" i="2" a="1"/>
  <c r="BT60" i="2" s="1"/>
  <c r="BU60" i="2" a="1"/>
  <c r="BU60" i="2" s="1"/>
  <c r="BV60" i="2" a="1"/>
  <c r="BV60" i="2" s="1"/>
  <c r="BW60" i="2" a="1"/>
  <c r="BW60" i="2" s="1"/>
  <c r="BX60" i="2" a="1"/>
  <c r="BX60" i="2" s="1"/>
  <c r="BY60" i="2" a="1"/>
  <c r="BY60" i="2" s="1"/>
  <c r="BZ60" i="2" a="1"/>
  <c r="BZ60" i="2" s="1"/>
  <c r="CA60" i="2" a="1"/>
  <c r="CA60" i="2" s="1"/>
  <c r="D60" i="2" a="1"/>
  <c r="D60" i="2" s="1"/>
  <c r="D63" i="2" l="1" a="1"/>
  <c r="D63" i="2" s="1"/>
  <c r="D62" i="2" a="1"/>
  <c r="D6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<sst xmlns="http://schemas.openxmlformats.org/spreadsheetml/2006/main" count="293" uniqueCount="183">
  <si>
    <t>station</t>
  </si>
  <si>
    <t>x</t>
  </si>
  <si>
    <t>y</t>
  </si>
  <si>
    <t>2025</t>
  </si>
  <si>
    <t>var_2025</t>
  </si>
  <si>
    <t>2024</t>
  </si>
  <si>
    <t>var_2024</t>
  </si>
  <si>
    <t>2023</t>
  </si>
  <si>
    <t>var_2023</t>
  </si>
  <si>
    <t>2022</t>
  </si>
  <si>
    <t>var_2022</t>
  </si>
  <si>
    <t>2021</t>
  </si>
  <si>
    <t>var_2021</t>
  </si>
  <si>
    <t>2020</t>
  </si>
  <si>
    <t>var_2020</t>
  </si>
  <si>
    <t>2019</t>
  </si>
  <si>
    <t>var_2019</t>
  </si>
  <si>
    <t>2018</t>
  </si>
  <si>
    <t>var_2018</t>
  </si>
  <si>
    <t>2017</t>
  </si>
  <si>
    <t>var_2017</t>
  </si>
  <si>
    <t>2016</t>
  </si>
  <si>
    <t>var_2016</t>
  </si>
  <si>
    <t>2015</t>
  </si>
  <si>
    <t>var_2015</t>
  </si>
  <si>
    <t>2014</t>
  </si>
  <si>
    <t>var_2014</t>
  </si>
  <si>
    <t>2013</t>
  </si>
  <si>
    <t>var_2013</t>
  </si>
  <si>
    <t>2012</t>
  </si>
  <si>
    <t>var_2012</t>
  </si>
  <si>
    <t>2011</t>
  </si>
  <si>
    <t>var_2011</t>
  </si>
  <si>
    <t>2010</t>
  </si>
  <si>
    <t>var_2010</t>
  </si>
  <si>
    <t>2009</t>
  </si>
  <si>
    <t>var_2009</t>
  </si>
  <si>
    <t>2008</t>
  </si>
  <si>
    <t>var_2008</t>
  </si>
  <si>
    <t>2007</t>
  </si>
  <si>
    <t>var_2007</t>
  </si>
  <si>
    <t>2006</t>
  </si>
  <si>
    <t>var_2006</t>
  </si>
  <si>
    <t>2005</t>
  </si>
  <si>
    <t>var_2005</t>
  </si>
  <si>
    <t>2004</t>
  </si>
  <si>
    <t>var_2004</t>
  </si>
  <si>
    <t>2003</t>
  </si>
  <si>
    <t>var_2003</t>
  </si>
  <si>
    <t>2002</t>
  </si>
  <si>
    <t>var_2002</t>
  </si>
  <si>
    <t>2001</t>
  </si>
  <si>
    <t>var_2001</t>
  </si>
  <si>
    <t>2000</t>
  </si>
  <si>
    <t>var_2000</t>
  </si>
  <si>
    <t>1999</t>
  </si>
  <si>
    <t>var_1999</t>
  </si>
  <si>
    <t>1998</t>
  </si>
  <si>
    <t>var_1998</t>
  </si>
  <si>
    <t>1997</t>
  </si>
  <si>
    <t>var_1997</t>
  </si>
  <si>
    <t>1996</t>
  </si>
  <si>
    <t>var_1996</t>
  </si>
  <si>
    <t>1995</t>
  </si>
  <si>
    <t>var_1995</t>
  </si>
  <si>
    <t>1994</t>
  </si>
  <si>
    <t>var_1994</t>
  </si>
  <si>
    <t>1993</t>
  </si>
  <si>
    <t>var_1993</t>
  </si>
  <si>
    <t>1992</t>
  </si>
  <si>
    <t>var_1992</t>
  </si>
  <si>
    <t>1991</t>
  </si>
  <si>
    <t>var_1991</t>
  </si>
  <si>
    <t>1990</t>
  </si>
  <si>
    <t>var_1990</t>
  </si>
  <si>
    <t>1989</t>
  </si>
  <si>
    <t>var_1989</t>
  </si>
  <si>
    <t>1988</t>
  </si>
  <si>
    <t>var_1988</t>
  </si>
  <si>
    <t>1987</t>
  </si>
  <si>
    <t>var_1987</t>
  </si>
  <si>
    <t>1986</t>
  </si>
  <si>
    <t>var_1986</t>
  </si>
  <si>
    <t>1985</t>
  </si>
  <si>
    <t>var_1985</t>
  </si>
  <si>
    <t>1984</t>
  </si>
  <si>
    <t>var_1984</t>
  </si>
  <si>
    <t>1983</t>
  </si>
  <si>
    <t>var_1983</t>
  </si>
  <si>
    <t>1982</t>
  </si>
  <si>
    <t>var_1982</t>
  </si>
  <si>
    <t>1981</t>
  </si>
  <si>
    <t>var_1981</t>
  </si>
  <si>
    <t>1980</t>
  </si>
  <si>
    <t>var_1980</t>
  </si>
  <si>
    <t>1979</t>
  </si>
  <si>
    <t>var_1979</t>
  </si>
  <si>
    <t>1978</t>
  </si>
  <si>
    <t>var_1978</t>
  </si>
  <si>
    <t>1977</t>
  </si>
  <si>
    <t>var_1977</t>
  </si>
  <si>
    <t>1976</t>
  </si>
  <si>
    <t>var_1976</t>
  </si>
  <si>
    <t>1975</t>
  </si>
  <si>
    <t>var_1975</t>
  </si>
  <si>
    <t>1974</t>
  </si>
  <si>
    <t>var_1974</t>
  </si>
  <si>
    <t>1973</t>
  </si>
  <si>
    <t>var_1973</t>
  </si>
  <si>
    <t>1972</t>
  </si>
  <si>
    <t>var_1972</t>
  </si>
  <si>
    <t>1971</t>
  </si>
  <si>
    <t>var_1971</t>
  </si>
  <si>
    <t>1970</t>
  </si>
  <si>
    <t>var_1970</t>
  </si>
  <si>
    <t>1969</t>
  </si>
  <si>
    <t>var_1969</t>
  </si>
  <si>
    <t>1968</t>
  </si>
  <si>
    <t>var_1968</t>
  </si>
  <si>
    <t>1967</t>
  </si>
  <si>
    <t>var_1967</t>
  </si>
  <si>
    <t>1966</t>
  </si>
  <si>
    <t>var_1966</t>
  </si>
  <si>
    <t>1965</t>
  </si>
  <si>
    <t>var_1965</t>
  </si>
  <si>
    <t>1964</t>
  </si>
  <si>
    <t>var_1964</t>
  </si>
  <si>
    <t>1963</t>
  </si>
  <si>
    <t>var_1963</t>
  </si>
  <si>
    <t>1962</t>
  </si>
  <si>
    <t>var_1962</t>
  </si>
  <si>
    <t>1961</t>
  </si>
  <si>
    <t>var_1961</t>
  </si>
  <si>
    <t>1960</t>
  </si>
  <si>
    <t>var_1960</t>
  </si>
  <si>
    <t>1959</t>
  </si>
  <si>
    <t>var_1959</t>
  </si>
  <si>
    <t>1958</t>
  </si>
  <si>
    <t>var_1958</t>
  </si>
  <si>
    <t>1957</t>
  </si>
  <si>
    <t>var_1957</t>
  </si>
  <si>
    <t>1956</t>
  </si>
  <si>
    <t>var_1956</t>
  </si>
  <si>
    <t>1955</t>
  </si>
  <si>
    <t>var_1955</t>
  </si>
  <si>
    <t>1954</t>
  </si>
  <si>
    <t>var_1954</t>
  </si>
  <si>
    <t>1953</t>
  </si>
  <si>
    <t>var_1953</t>
  </si>
  <si>
    <t>1952</t>
  </si>
  <si>
    <t>var_1952</t>
  </si>
  <si>
    <t>1951</t>
  </si>
  <si>
    <t>var_1951</t>
  </si>
  <si>
    <t>1950</t>
  </si>
  <si>
    <t>var_1950</t>
  </si>
  <si>
    <t>H. Terminus</t>
  </si>
  <si>
    <t>CO02</t>
  </si>
  <si>
    <t>Wolfson</t>
  </si>
  <si>
    <t>Nes Lagoyim</t>
  </si>
  <si>
    <t>Shlavim</t>
  </si>
  <si>
    <t>Carmelit</t>
  </si>
  <si>
    <t>Magen David</t>
  </si>
  <si>
    <t>Habima</t>
  </si>
  <si>
    <t>Hashmonaim</t>
  </si>
  <si>
    <t>Kikar Noga</t>
  </si>
  <si>
    <t>Katznelson</t>
  </si>
  <si>
    <t>Haroe</t>
  </si>
  <si>
    <t>Hazon Ish</t>
  </si>
  <si>
    <t>CO06</t>
  </si>
  <si>
    <t>Kahneman</t>
  </si>
  <si>
    <t>Bar Ilan</t>
  </si>
  <si>
    <t>Kfar Ganim</t>
  </si>
  <si>
    <t>Ben Gurion</t>
  </si>
  <si>
    <t>Arlozorov</t>
  </si>
  <si>
    <t>PT City Hall</t>
  </si>
  <si>
    <t>PT East</t>
  </si>
  <si>
    <t>Sirkin South</t>
  </si>
  <si>
    <t>CO09</t>
  </si>
  <si>
    <t>Sirkin North</t>
  </si>
  <si>
    <t>Depo</t>
  </si>
  <si>
    <t>From</t>
  </si>
  <si>
    <t>To</t>
  </si>
  <si>
    <t>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</si>
</sst>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5" borderId="0" xfId="0" applyFill="1"/>
    <xf numFmtId="0" fontId="2" fillId="5" borderId="0" xfId="0" applyFont="1" applyFill="1" applyAlignment="1">
      <alignment horizontal="center"/>
    </xf>
    <xf numFmtId="2" fontId="0" fillId="0" borderId="0" xfId="0" applyNumberFormat="1"/>
    <xf numFmtId="164" fontId="0" fillId="6" borderId="0" xfId="0" applyNumberFormat="1" applyFill="1"/>
    <xf numFmtId="0" fontId="0" fillId="2" borderId="0" xfId="0" applyFill="1" applyAlignment="1">
      <alignment horizontal="center"/>
    </xf>
    <xf numFmtId="0" fontId="2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Maximum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cat>
            <c:strRef>
              <c:f>Sheet1!ChartYears</c:f>
              <c:strCache>
                <c:ptCount val="62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  <c:pt idx="8">
                  <c:v>2017</c:v>
                </c:pt>
                <c:pt idx="9">
                  <c:v>2016</c:v>
                </c:pt>
                <c:pt idx="10">
                  <c:v>2015</c:v>
                </c:pt>
                <c:pt idx="11">
                  <c:v>2014</c:v>
                </c:pt>
                <c:pt idx="12">
                  <c:v>2013</c:v>
                </c:pt>
                <c:pt idx="13">
                  <c:v>2012</c:v>
                </c:pt>
                <c:pt idx="14">
                  <c:v>2011</c:v>
                </c:pt>
                <c:pt idx="15">
                  <c:v>2010</c:v>
                </c:pt>
                <c:pt idx="16">
                  <c:v>2009</c:v>
                </c:pt>
                <c:pt idx="17">
                  <c:v>2008</c:v>
                </c:pt>
                <c:pt idx="18">
                  <c:v>2007</c:v>
                </c:pt>
                <c:pt idx="19">
                  <c:v>2006</c:v>
                </c:pt>
                <c:pt idx="20">
                  <c:v>2005</c:v>
                </c:pt>
                <c:pt idx="21">
                  <c:v>2004</c:v>
                </c:pt>
                <c:pt idx="22">
                  <c:v>2003</c:v>
                </c:pt>
                <c:pt idx="23">
                  <c:v>2002</c:v>
                </c:pt>
                <c:pt idx="24">
                  <c:v>2001</c:v>
                </c:pt>
                <c:pt idx="25">
                  <c:v>2000</c:v>
                </c:pt>
                <c:pt idx="26">
                  <c:v>1999</c:v>
                </c:pt>
                <c:pt idx="27">
                  <c:v>1998</c:v>
                </c:pt>
                <c:pt idx="28">
                  <c:v>1997</c:v>
                </c:pt>
                <c:pt idx="29">
                  <c:v>1996</c:v>
                </c:pt>
                <c:pt idx="30">
                  <c:v>1995</c:v>
                </c:pt>
                <c:pt idx="31">
                  <c:v>1994</c:v>
                </c:pt>
                <c:pt idx="32">
                  <c:v>1993</c:v>
                </c:pt>
                <c:pt idx="33">
                  <c:v>1992</c:v>
                </c:pt>
                <c:pt idx="34">
                  <c:v>1991</c:v>
                </c:pt>
                <c:pt idx="35">
                  <c:v>1990</c:v>
                </c:pt>
                <c:pt idx="36">
                  <c:v>1989</c:v>
                </c:pt>
                <c:pt idx="37">
                  <c:v>1988</c:v>
                </c:pt>
                <c:pt idx="38">
                  <c:v>1987</c:v>
                </c:pt>
                <c:pt idx="39">
                  <c:v>1986</c:v>
                </c:pt>
                <c:pt idx="40">
                  <c:v>1985</c:v>
                </c:pt>
                <c:pt idx="41">
                  <c:v>1984</c:v>
                </c:pt>
                <c:pt idx="42">
                  <c:v>1983</c:v>
                </c:pt>
                <c:pt idx="43">
                  <c:v>1982</c:v>
                </c:pt>
                <c:pt idx="44">
                  <c:v>1981</c:v>
                </c:pt>
                <c:pt idx="45">
                  <c:v>1980</c:v>
                </c:pt>
                <c:pt idx="46">
                  <c:v>1979</c:v>
                </c:pt>
                <c:pt idx="47">
                  <c:v>1978</c:v>
                </c:pt>
                <c:pt idx="48">
                  <c:v>1977</c:v>
                </c:pt>
                <c:pt idx="49">
                  <c:v>1976</c:v>
                </c:pt>
                <c:pt idx="50">
                  <c:v>1975</c:v>
                </c:pt>
                <c:pt idx="51">
                  <c:v>1974</c:v>
                </c:pt>
                <c:pt idx="52">
                  <c:v>1973</c:v>
                </c:pt>
                <c:pt idx="53">
                  <c:v>1972</c:v>
                </c:pt>
                <c:pt idx="54">
                  <c:v>1971</c:v>
                </c:pt>
                <c:pt idx="55">
                  <c:v>1970</c:v>
                </c:pt>
                <c:pt idx="56">
                  <c:v>1969</c:v>
                </c:pt>
                <c:pt idx="57">
                  <c:v>1968</c:v>
                </c:pt>
                <c:pt idx="58">
                  <c:v>1967</c:v>
                </c:pt>
                <c:pt idx="59">
                  <c:v>1966</c:v>
                </c:pt>
                <c:pt idx="60">
                  <c:v>1965</c:v>
                </c:pt>
                <c:pt idx="61">
                  <c:v>1964</c:v>
                </c:pt>
              </c:strCache>
            </c:strRef>
          </c:cat>
          <c:val>
            <c:numRef>
              <c:f>Sheet1!ChartValues</c:f>
              <c:numCache>
                <c:formatCode>General</c:formatCode>
                <c:ptCount val="62"/>
                <c:pt idx="0">
                  <c:v>0.6</c:v>
                </c:pt>
                <c:pt idx="1">
                  <c:v>0.65580326792764865</c:v>
                </c:pt>
                <c:pt idx="2">
                  <c:v>1.152864113743107</c:v>
                </c:pt>
                <c:pt idx="3">
                  <c:v>1.397521331857694</c:v>
                </c:pt>
                <c:pt idx="4">
                  <c:v>0.72340894846349968</c:v>
                </c:pt>
                <c:pt idx="5">
                  <c:v>8.2609663181253123E-2</c:v>
                </c:pt>
                <c:pt idx="6">
                  <c:v>-0.31688066831214678</c:v>
                </c:pt>
                <c:pt idx="7">
                  <c:v>0.1153896098408986</c:v>
                </c:pt>
                <c:pt idx="8">
                  <c:v>0.21214857186082409</c:v>
                </c:pt>
                <c:pt idx="9">
                  <c:v>-0.24910051293933549</c:v>
                </c:pt>
                <c:pt idx="10">
                  <c:v>-2.7198864486658699E-2</c:v>
                </c:pt>
                <c:pt idx="11">
                  <c:v>1.12174770522088</c:v>
                </c:pt>
                <c:pt idx="12">
                  <c:v>-0.54286108531172883</c:v>
                </c:pt>
                <c:pt idx="13">
                  <c:v>-0.59107021946256144</c:v>
                </c:pt>
                <c:pt idx="14">
                  <c:v>-0.41873075296372519</c:v>
                </c:pt>
                <c:pt idx="15">
                  <c:v>-0.4504225997243515</c:v>
                </c:pt>
                <c:pt idx="16">
                  <c:v>-0.51121364294411964</c:v>
                </c:pt>
                <c:pt idx="17">
                  <c:v>-0.60253845925559535</c:v>
                </c:pt>
                <c:pt idx="18">
                  <c:v>-0.55303891410642914</c:v>
                </c:pt>
                <c:pt idx="19">
                  <c:v>-0.71062539162610217</c:v>
                </c:pt>
                <c:pt idx="20">
                  <c:v>-0.99528465827210189</c:v>
                </c:pt>
                <c:pt idx="21">
                  <c:v>-0.98390855871561189</c:v>
                </c:pt>
                <c:pt idx="22">
                  <c:v>-1.034892952451133</c:v>
                </c:pt>
                <c:pt idx="23">
                  <c:v>-1.1303514096691689</c:v>
                </c:pt>
                <c:pt idx="24">
                  <c:v>-0.36861798759867009</c:v>
                </c:pt>
                <c:pt idx="25">
                  <c:v>2.2664940850941218E-2</c:v>
                </c:pt>
                <c:pt idx="26">
                  <c:v>0.1028434716182305</c:v>
                </c:pt>
                <c:pt idx="27">
                  <c:v>0.15341860315510061</c:v>
                </c:pt>
                <c:pt idx="28">
                  <c:v>0.44642020686069322</c:v>
                </c:pt>
                <c:pt idx="29">
                  <c:v>0.42578277974444151</c:v>
                </c:pt>
                <c:pt idx="30">
                  <c:v>0.69188551786821628</c:v>
                </c:pt>
                <c:pt idx="31">
                  <c:v>0.84820313637860567</c:v>
                </c:pt>
                <c:pt idx="32">
                  <c:v>1.091453774449624</c:v>
                </c:pt>
                <c:pt idx="33">
                  <c:v>1.159673275591093</c:v>
                </c:pt>
                <c:pt idx="34">
                  <c:v>0.78149807362417967</c:v>
                </c:pt>
                <c:pt idx="35">
                  <c:v>0.30005588387623788</c:v>
                </c:pt>
                <c:pt idx="36">
                  <c:v>0.561803586751771</c:v>
                </c:pt>
                <c:pt idx="37">
                  <c:v>0.65469954227899207</c:v>
                </c:pt>
                <c:pt idx="38">
                  <c:v>0.63904701400289221</c:v>
                </c:pt>
                <c:pt idx="39">
                  <c:v>0.64068335069838223</c:v>
                </c:pt>
                <c:pt idx="40">
                  <c:v>0.69900504756542281</c:v>
                </c:pt>
                <c:pt idx="41">
                  <c:v>0.74279300238496215</c:v>
                </c:pt>
                <c:pt idx="42">
                  <c:v>0.77741777035348536</c:v>
                </c:pt>
                <c:pt idx="43">
                  <c:v>0.98620802677913988</c:v>
                </c:pt>
                <c:pt idx="44">
                  <c:v>1.1661812383686541</c:v>
                </c:pt>
                <c:pt idx="45">
                  <c:v>1.137278237744169</c:v>
                </c:pt>
                <c:pt idx="46">
                  <c:v>1.279309708211287</c:v>
                </c:pt>
                <c:pt idx="47">
                  <c:v>1.6442255583405729</c:v>
                </c:pt>
                <c:pt idx="48">
                  <c:v>1.682401766387047</c:v>
                </c:pt>
                <c:pt idx="49">
                  <c:v>2.0001015456367308</c:v>
                </c:pt>
                <c:pt idx="50">
                  <c:v>2.409657429642857</c:v>
                </c:pt>
                <c:pt idx="51">
                  <c:v>2.5824093807404291</c:v>
                </c:pt>
                <c:pt idx="52">
                  <c:v>2.6009417400235328</c:v>
                </c:pt>
                <c:pt idx="53">
                  <c:v>2.75960161257531</c:v>
                </c:pt>
                <c:pt idx="54">
                  <c:v>2.8722675672168099</c:v>
                </c:pt>
                <c:pt idx="55">
                  <c:v>2.6616071759772071</c:v>
                </c:pt>
                <c:pt idx="56">
                  <c:v>3.0182958398972581</c:v>
                </c:pt>
                <c:pt idx="57">
                  <c:v>2.9477018700570188</c:v>
                </c:pt>
                <c:pt idx="58">
                  <c:v>2.721129686481782</c:v>
                </c:pt>
                <c:pt idx="59">
                  <c:v>2.5426998169310369</c:v>
                </c:pt>
                <c:pt idx="60">
                  <c:v>2.7435699544701699</c:v>
                </c:pt>
                <c:pt idx="61">
                  <c:v>1.561762787267613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04-46B1-B24B-2247AD9DF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5290511"/>
        <c:axId val="2035287631"/>
      </c:lineChart>
      <c:catAx>
        <c:axId val="203529051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287631"/>
        <c:crossesAt val="-500"/>
        <c:auto val="1"/>
        <c:lblAlgn val="ctr"/>
        <c:lblOffset val="100"/>
        <c:noMultiLvlLbl val="0"/>
      </c:catAx>
      <c:valAx>
        <c:axId val="203528763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GWL [mASL]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290511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43542</xdr:colOff>
      <xdr:row>2</xdr:row>
      <xdr:rowOff>5441</xdr:rowOff>
    </xdr:from>
    <xdr:to>
      <xdr:col>15</xdr:col>
      <xdr:colOff>495299</xdr:colOff>
      <xdr:row>27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4FAD34-DE2A-FC68-F0FE-F3536B1D83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Y3"/>
  <sheetViews>
    <sheetView tabSelected="1" zoomScale="70" zoomScaleNormal="70" workbookViewId="0">
      <pane xSplit="1" topLeftCell="D1" activePane="topRight" state="frozen"/>
      <selection pane="topRight" activeCell="N30" sqref="N30"/>
    </sheetView>
  </sheetViews>
  <sheetFormatPr defaultRowHeight="14.25" x14ac:dyDescent="0.45"/>
  <cols>
    <col min="1" max="1" width="15.19921875" customWidth="1"/>
    <col min="5" max="5" width="0" hidden="1" customWidth="1"/>
    <col min="7" max="7" width="0" hidden="1" customWidth="1"/>
    <col min="9" max="9" width="0" hidden="1" customWidth="1"/>
    <col min="11" max="11" width="0" hidden="1" customWidth="1"/>
    <col min="13" max="13" width="0" hidden="1" customWidth="1"/>
    <col min="15" max="15" width="0" hidden="1" customWidth="1"/>
    <col min="17" max="17" width="0" hidden="1" customWidth="1"/>
    <col min="19" max="19" width="0" hidden="1" customWidth="1"/>
    <col min="21" max="21" width="0" hidden="1" customWidth="1"/>
    <col min="23" max="23" width="0" hidden="1" customWidth="1"/>
    <col min="25" max="25" width="0" hidden="1" customWidth="1"/>
    <col min="27" max="27" width="0" hidden="1" customWidth="1"/>
    <col min="29" max="29" width="0" hidden="1" customWidth="1"/>
    <col min="31" max="31" width="0" hidden="1" customWidth="1"/>
    <col min="33" max="33" width="0" hidden="1" customWidth="1"/>
    <col min="35" max="35" width="0" hidden="1" customWidth="1"/>
    <col min="37" max="37" width="0" hidden="1" customWidth="1"/>
    <col min="39" max="39" width="0" hidden="1" customWidth="1"/>
    <col min="41" max="41" width="0" hidden="1" customWidth="1"/>
    <col min="43" max="43" width="0" hidden="1" customWidth="1"/>
    <col min="45" max="45" width="0" hidden="1" customWidth="1"/>
    <col min="47" max="47" width="0" hidden="1" customWidth="1"/>
    <col min="49" max="49" width="0" hidden="1" customWidth="1"/>
    <col min="51" max="51" width="0" hidden="1" customWidth="1"/>
    <col min="53" max="53" width="0" hidden="1" customWidth="1"/>
    <col min="55" max="55" width="0" hidden="1" customWidth="1"/>
    <col min="57" max="57" width="0" hidden="1" customWidth="1"/>
    <col min="59" max="59" width="0" hidden="1" customWidth="1"/>
    <col min="61" max="61" width="0" hidden="1" customWidth="1"/>
    <col min="63" max="63" width="0" hidden="1" customWidth="1"/>
    <col min="65" max="65" width="0" hidden="1" customWidth="1"/>
    <col min="67" max="67" width="0" hidden="1" customWidth="1"/>
    <col min="69" max="69" width="0" hidden="1" customWidth="1"/>
    <col min="71" max="71" width="0" hidden="1" customWidth="1"/>
    <col min="73" max="73" width="0" hidden="1" customWidth="1"/>
    <col min="75" max="75" width="0" hidden="1" customWidth="1"/>
    <col min="77" max="77" width="0" hidden="1" customWidth="1"/>
    <col min="79" max="79" width="0" hidden="1" customWidth="1"/>
    <col min="81" max="81" width="0" hidden="1" customWidth="1"/>
    <col min="83" max="83" width="0" hidden="1" customWidth="1"/>
    <col min="85" max="85" width="0" hidden="1" customWidth="1"/>
    <col min="87" max="87" width="0" hidden="1" customWidth="1"/>
    <col min="89" max="89" width="0" hidden="1" customWidth="1"/>
    <col min="91" max="91" width="0" hidden="1" customWidth="1"/>
    <col min="93" max="93" width="0" hidden="1" customWidth="1"/>
    <col min="95" max="95" width="0" hidden="1" customWidth="1"/>
    <col min="97" max="97" width="0" hidden="1" customWidth="1"/>
    <col min="99" max="99" width="0" hidden="1" customWidth="1"/>
    <col min="101" max="101" width="0" hidden="1" customWidth="1"/>
    <col min="103" max="103" width="0" hidden="1" customWidth="1"/>
    <col min="105" max="105" width="0" hidden="1" customWidth="1"/>
    <col min="107" max="107" width="0" hidden="1" customWidth="1"/>
    <col min="109" max="109" width="0" hidden="1" customWidth="1"/>
    <col min="111" max="111" width="0" hidden="1" customWidth="1"/>
    <col min="113" max="113" width="0" hidden="1" customWidth="1"/>
    <col min="115" max="115" width="0" hidden="1" customWidth="1"/>
    <col min="117" max="117" width="0" hidden="1" customWidth="1"/>
    <col min="119" max="119" width="0" hidden="1" customWidth="1"/>
    <col min="121" max="121" width="0" hidden="1" customWidth="1"/>
    <col min="123" max="123" width="0" hidden="1" customWidth="1"/>
    <col min="125" max="125" width="0" hidden="1" customWidth="1"/>
    <col min="127" max="127" width="0" hidden="1" customWidth="1"/>
    <col min="129" max="129" width="0" hidden="1" customWidth="1"/>
    <col min="131" max="131" width="0" hidden="1" customWidth="1"/>
    <col min="133" max="133" width="0" hidden="1" customWidth="1"/>
    <col min="135" max="135" width="0" hidden="1" customWidth="1"/>
    <col min="137" max="137" width="0" hidden="1" customWidth="1"/>
    <col min="139" max="139" width="0" hidden="1" customWidth="1"/>
    <col min="141" max="141" width="0" hidden="1" customWidth="1"/>
    <col min="143" max="143" width="0" hidden="1" customWidth="1"/>
    <col min="145" max="145" width="0" hidden="1" customWidth="1"/>
    <col min="147" max="147" width="0" hidden="1" customWidth="1"/>
    <col min="149" max="149" width="0" hidden="1" customWidth="1"/>
    <col min="151" max="151" width="0" hidden="1" customWidth="1"/>
    <col min="153" max="153" width="0" hidden="1" customWidth="1"/>
    <col min="155" max="155" width="0" hidden="1" customWidth="1"/>
  </cols>
  <sheetData>
    <row r="1" spans="1:15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</row>
    <row r="2" spans="1:155" x14ac:dyDescent="0.45">
      <c r="A2" t="s">
        <v>157</v>
      </c>
      <c r="B2">
        <v>177480</v>
      </c>
      <c r="C2">
        <v>660245</v>
      </c>
      <c r="D2" s="2">
        <v>2.4</v>
      </c>
      <c r="E2" s="2">
        <v>5.2872626075170341E-2</v>
      </c>
      <c r="F2" s="2">
        <v>2.0346685859475602</v>
      </c>
      <c r="G2" s="2">
        <v>2.0951339750102549E-2</v>
      </c>
      <c r="H2" s="2">
        <v>1.61766117902998</v>
      </c>
      <c r="I2" s="2">
        <v>4.4856469871756052E-2</v>
      </c>
      <c r="J2" s="2">
        <v>1.675928783597916</v>
      </c>
      <c r="K2" s="2">
        <v>4.2405422115302613E-2</v>
      </c>
      <c r="L2" s="2">
        <v>1.524134108308882</v>
      </c>
      <c r="M2" s="2">
        <v>0.41337326090831072</v>
      </c>
      <c r="N2" s="2">
        <v>1.5424585564544031</v>
      </c>
      <c r="O2" s="2">
        <v>0.56965862963761071</v>
      </c>
      <c r="P2" s="2">
        <v>0.89054938879179302</v>
      </c>
      <c r="Q2" s="2">
        <v>0.46388374013440292</v>
      </c>
      <c r="R2" s="2">
        <v>0.84066414358968544</v>
      </c>
      <c r="S2" s="2">
        <v>0.35112836347436371</v>
      </c>
      <c r="T2" s="2">
        <v>0.84153846153846101</v>
      </c>
      <c r="U2" s="2">
        <v>0.1220348900237562</v>
      </c>
      <c r="V2" s="2">
        <v>0.77615384615384686</v>
      </c>
      <c r="W2" s="2">
        <v>4.8666745318260568E-2</v>
      </c>
      <c r="X2" s="2">
        <v>0.66094663942300291</v>
      </c>
      <c r="Y2" s="2">
        <v>5.3191824707919888E-2</v>
      </c>
      <c r="Z2" s="2">
        <v>0.12137307725548679</v>
      </c>
      <c r="AA2" s="2">
        <v>8.5451770489464285E-2</v>
      </c>
      <c r="AB2" s="2">
        <v>3.4259947420618393E-2</v>
      </c>
      <c r="AC2" s="2">
        <v>9.9052505805509422E-2</v>
      </c>
      <c r="AD2" s="2">
        <v>-0.58849853243683026</v>
      </c>
      <c r="AE2" s="2">
        <v>0.20109563356824381</v>
      </c>
      <c r="AF2" s="2">
        <v>-0.8682130992357201</v>
      </c>
      <c r="AG2" s="2">
        <v>0.36417582569802309</v>
      </c>
      <c r="AH2" s="2">
        <v>-0.17510392578993161</v>
      </c>
      <c r="AI2" s="2">
        <v>0.13067612250557861</v>
      </c>
      <c r="AJ2" s="2">
        <v>-1.1713262620043139</v>
      </c>
      <c r="AK2" s="2">
        <v>2.863962622705031</v>
      </c>
      <c r="AL2" s="2">
        <v>-0.1006454065024118</v>
      </c>
      <c r="AM2" s="2">
        <v>0.1347689665971922</v>
      </c>
      <c r="AN2" s="2">
        <v>-0.35172559887581922</v>
      </c>
      <c r="AO2" s="2">
        <v>0.56709029158437441</v>
      </c>
      <c r="AP2" s="2">
        <v>6.9783256376564726E-2</v>
      </c>
      <c r="AQ2" s="2">
        <v>0.22858668269220089</v>
      </c>
      <c r="AR2" s="2">
        <v>-0.36695969457024641</v>
      </c>
      <c r="AS2" s="2">
        <v>0.4188351379888377</v>
      </c>
      <c r="AT2" s="2">
        <v>-0.77191278201820313</v>
      </c>
      <c r="AU2" s="2">
        <v>0.13215220016388121</v>
      </c>
      <c r="AV2" s="2">
        <v>-0.84637874299423854</v>
      </c>
      <c r="AW2" s="2">
        <v>0.11603323322540569</v>
      </c>
      <c r="AX2" s="2">
        <v>-1.0935163554098739</v>
      </c>
      <c r="AY2" s="2">
        <v>0.12943237042783809</v>
      </c>
      <c r="AZ2" s="2">
        <v>-0.60389729601098008</v>
      </c>
      <c r="BA2" s="2">
        <v>0.17047877314869461</v>
      </c>
      <c r="BB2" s="2">
        <v>-0.27291927411673428</v>
      </c>
      <c r="BC2" s="2">
        <v>0.22833545541130651</v>
      </c>
      <c r="BD2" s="2">
        <v>-8.7064752354726327E-4</v>
      </c>
      <c r="BE2" s="2">
        <v>0.21893671254285119</v>
      </c>
      <c r="BF2" s="2">
        <v>0.33235689869308788</v>
      </c>
      <c r="BG2" s="2">
        <v>0.30292749906147742</v>
      </c>
      <c r="BH2" s="2">
        <v>0.14018829513496961</v>
      </c>
      <c r="BI2" s="2">
        <v>0.14209801511653691</v>
      </c>
      <c r="BJ2" s="2">
        <v>0.46607251450136011</v>
      </c>
      <c r="BK2" s="2">
        <v>0.19374769663298319</v>
      </c>
      <c r="BL2" s="2">
        <v>-9.2181510290248354E-3</v>
      </c>
      <c r="BM2" s="2">
        <v>0.22313047808849359</v>
      </c>
      <c r="BN2" s="2">
        <v>-0.76365258070717279</v>
      </c>
      <c r="BO2" s="2">
        <v>0.2074878737409861</v>
      </c>
      <c r="BP2" s="2">
        <v>-0.60657728414426826</v>
      </c>
      <c r="BQ2" s="2">
        <v>0.38805462292116311</v>
      </c>
      <c r="BR2" s="2">
        <v>-0.86030789609907854</v>
      </c>
      <c r="BS2" s="2">
        <v>0.4924647400636204</v>
      </c>
      <c r="BT2" s="2">
        <v>-1.751374985606988</v>
      </c>
      <c r="BU2" s="2">
        <v>0.49326460430234997</v>
      </c>
      <c r="BV2" s="2">
        <v>-1.835442343820666</v>
      </c>
      <c r="BW2" s="2">
        <v>0.4457526594716788</v>
      </c>
      <c r="BX2" s="2">
        <v>-1.694393981203115</v>
      </c>
      <c r="BY2" s="2">
        <v>0.45378034665397288</v>
      </c>
      <c r="BZ2" s="2">
        <v>-1.6029716956043689</v>
      </c>
      <c r="CA2" s="2">
        <v>0.66523220025785867</v>
      </c>
      <c r="CB2" s="2">
        <v>-1.6419811404110749</v>
      </c>
      <c r="CC2" s="2">
        <v>0.62428603894510282</v>
      </c>
      <c r="CD2" s="2">
        <v>-1.5768339263539899</v>
      </c>
      <c r="CE2" s="2">
        <v>0.54331425275861078</v>
      </c>
      <c r="CF2" s="2">
        <v>-1.2321054719156139</v>
      </c>
      <c r="CG2" s="2">
        <v>0.41866498237285921</v>
      </c>
      <c r="CH2" s="2">
        <v>-1.0165510982364201</v>
      </c>
      <c r="CI2" s="2">
        <v>0.35702606974456169</v>
      </c>
      <c r="CJ2" s="2">
        <v>-2.0912744769246761</v>
      </c>
      <c r="CK2" s="2">
        <v>0.40004559310197713</v>
      </c>
      <c r="CL2" s="2">
        <v>-0.59698095276225005</v>
      </c>
      <c r="CM2" s="2">
        <v>0.28042124152968878</v>
      </c>
      <c r="CN2" s="2">
        <v>3.3295949679060147E-2</v>
      </c>
      <c r="CO2" s="2">
        <v>0.31982651866258749</v>
      </c>
      <c r="CP2" s="2">
        <v>0.23121912575314671</v>
      </c>
      <c r="CQ2" s="2">
        <v>0.33453999781066018</v>
      </c>
      <c r="CR2" s="2">
        <v>-0.16732841514839131</v>
      </c>
      <c r="CS2" s="2">
        <v>0.2336657056807073</v>
      </c>
      <c r="CT2" s="2">
        <v>0.86148123989116177</v>
      </c>
      <c r="CU2" s="2">
        <v>0.2476874738164796</v>
      </c>
      <c r="CV2" s="2">
        <v>0.81505527523474042</v>
      </c>
      <c r="CW2" s="2">
        <v>0.1628812653198918</v>
      </c>
      <c r="CX2" s="2">
        <v>1.44992895390301</v>
      </c>
      <c r="CY2" s="2">
        <v>0.1010645860873166</v>
      </c>
      <c r="CZ2" s="2">
        <v>1.921459526886629</v>
      </c>
      <c r="DA2" s="2">
        <v>5.3464112585143699E-2</v>
      </c>
      <c r="DB2" s="2">
        <v>2.5329521350704862</v>
      </c>
      <c r="DC2" s="2">
        <v>0.4890737076603372</v>
      </c>
      <c r="DD2" s="2">
        <v>2.0559831258649748</v>
      </c>
      <c r="DE2" s="2">
        <v>0.12664492881153669</v>
      </c>
      <c r="DF2" s="2">
        <v>2.4198345363904479</v>
      </c>
      <c r="DG2" s="2">
        <v>0.17988476785795421</v>
      </c>
      <c r="DH2" s="2">
        <v>3.5983169073097852</v>
      </c>
      <c r="DI2" s="2">
        <v>0.36249391882037441</v>
      </c>
      <c r="DJ2" s="2">
        <v>2.6315203164633401</v>
      </c>
      <c r="DK2" s="2">
        <v>0.74744811291794788</v>
      </c>
      <c r="DL2" s="2">
        <v>2.4243691753721568</v>
      </c>
      <c r="DM2" s="2">
        <v>0.1076396675035674</v>
      </c>
      <c r="DN2" s="2">
        <v>2.5367916920841158</v>
      </c>
      <c r="DO2" s="2">
        <v>7.8543017534720858E-2</v>
      </c>
      <c r="DP2" s="2">
        <v>2.3976515007680912</v>
      </c>
      <c r="DQ2" s="2">
        <v>0.1135060807911057</v>
      </c>
      <c r="DR2" s="2">
        <v>2.4277034188856339</v>
      </c>
      <c r="DS2" s="2">
        <v>0.24163731028847321</v>
      </c>
      <c r="DT2" s="2">
        <v>3.3939910183665321</v>
      </c>
      <c r="DU2" s="2">
        <v>1.6384947164108881</v>
      </c>
      <c r="DV2" s="2">
        <v>2.0708956917422312</v>
      </c>
      <c r="DW2" s="2">
        <v>0.19795877580808349</v>
      </c>
      <c r="DX2" s="2">
        <v>1.016138633931458</v>
      </c>
      <c r="DY2" s="2">
        <v>0.11032935897660801</v>
      </c>
      <c r="DZ2" s="2">
        <v>0.81308553936408534</v>
      </c>
      <c r="EA2" s="2">
        <v>0.17260683218244871</v>
      </c>
      <c r="EB2" s="2">
        <v>7.7314624158394657E-2</v>
      </c>
      <c r="EC2" s="2">
        <v>0.29363323331874169</v>
      </c>
      <c r="ED2" s="2">
        <v>-1.4501388552345349</v>
      </c>
      <c r="EE2" s="2">
        <v>0.85631148943574276</v>
      </c>
      <c r="EF2" s="2">
        <v>-1.6021674463262989</v>
      </c>
      <c r="EG2" s="2">
        <v>1.3615983269585401</v>
      </c>
      <c r="EH2" s="2">
        <v>-0.56496333347878691</v>
      </c>
      <c r="EI2" s="2">
        <v>8.403521437700272</v>
      </c>
      <c r="EJ2" s="2">
        <v>2.9298802184825981</v>
      </c>
      <c r="EK2" s="2">
        <v>2.6643108126236319</v>
      </c>
      <c r="EL2" s="2">
        <v>1.4141311601427891</v>
      </c>
      <c r="EM2" s="2">
        <v>3.5416128726847371</v>
      </c>
      <c r="EN2" s="2">
        <v>1.1200762399981119</v>
      </c>
      <c r="EO2" s="2">
        <v>2.9551288969125902</v>
      </c>
      <c r="EP2" s="2">
        <v>1.4464352351693941</v>
      </c>
      <c r="EQ2" s="2">
        <v>2.343700157460022</v>
      </c>
      <c r="ER2" s="2">
        <v>0.80219970818089448</v>
      </c>
      <c r="ES2" s="2">
        <v>2.917651269708331</v>
      </c>
      <c r="ET2" s="2">
        <v>2.1103052371132729</v>
      </c>
      <c r="EU2" s="2">
        <v>10.68891129584264</v>
      </c>
      <c r="EV2" s="2">
        <v>2.510713162559107</v>
      </c>
      <c r="EW2">
        <v>32.982292443827959</v>
      </c>
      <c r="EX2">
        <v>2.977632628594284</v>
      </c>
      <c r="EY2">
        <v>18.11994620153774</v>
      </c>
    </row>
    <row r="3" spans="1:155" x14ac:dyDescent="0.45">
      <c r="A3" t="s">
        <v>159</v>
      </c>
      <c r="B3">
        <v>177980</v>
      </c>
      <c r="C3">
        <v>662360</v>
      </c>
      <c r="D3" s="2">
        <v>1.1000000000000001</v>
      </c>
      <c r="E3" s="2">
        <v>8.0123320358377187E-2</v>
      </c>
      <c r="F3" s="2">
        <v>1.906339237469624</v>
      </c>
      <c r="G3" s="2">
        <v>8.3883308580718879E-2</v>
      </c>
      <c r="H3" s="2">
        <v>1.0309070102826019</v>
      </c>
      <c r="I3" s="2">
        <v>0.31835365941737948</v>
      </c>
      <c r="J3" s="2">
        <v>1.90091450564676</v>
      </c>
      <c r="K3" s="2">
        <v>5.4594616791061271E-2</v>
      </c>
      <c r="L3" s="2">
        <v>1.3869106812443439</v>
      </c>
      <c r="M3" s="2">
        <v>5.4745086793964948E-2</v>
      </c>
      <c r="N3" s="2">
        <v>0.2920603109184759</v>
      </c>
      <c r="O3" s="2">
        <v>0.13896240199392451</v>
      </c>
      <c r="P3" s="2">
        <v>-0.2025765600595634</v>
      </c>
      <c r="Q3" s="2">
        <v>0.37238237319769579</v>
      </c>
      <c r="R3" s="2">
        <v>0.3406555033280414</v>
      </c>
      <c r="S3" s="2">
        <v>0.94194917429026925</v>
      </c>
      <c r="T3" s="2">
        <v>0.37675190632913091</v>
      </c>
      <c r="U3" s="2">
        <v>4.9342639639608027E-2</v>
      </c>
      <c r="V3" s="2">
        <v>6.0955331920452022E-2</v>
      </c>
      <c r="W3" s="2">
        <v>0.11138101755876501</v>
      </c>
      <c r="X3" s="2">
        <v>0.56872044004748545</v>
      </c>
      <c r="Y3" s="2">
        <v>0.11399634347303469</v>
      </c>
      <c r="Z3" s="2">
        <v>-0.55833368898134006</v>
      </c>
      <c r="AA3" s="2">
        <v>3.3401233537449372E-2</v>
      </c>
      <c r="AB3" s="2">
        <v>-0.31697366812852279</v>
      </c>
      <c r="AC3" s="2">
        <v>8.814804307693265E-2</v>
      </c>
      <c r="AD3" s="2">
        <v>-0.41851851851851879</v>
      </c>
      <c r="AE3" s="2">
        <v>0.16627813021594329</v>
      </c>
      <c r="AF3" s="2">
        <v>-0.29407407407407421</v>
      </c>
      <c r="AG3" s="2">
        <v>4.4971274084856898E-2</v>
      </c>
      <c r="AH3" s="2">
        <v>-0.41</v>
      </c>
      <c r="AI3" s="2">
        <v>0.17363177028574109</v>
      </c>
      <c r="AJ3" s="2">
        <v>-0.31416345804653728</v>
      </c>
      <c r="AK3" s="2">
        <v>2.8561545498362591E-2</v>
      </c>
      <c r="AL3" s="2">
        <v>-0.49849223507065199</v>
      </c>
      <c r="AM3" s="2">
        <v>0.16463482094563109</v>
      </c>
      <c r="AN3" s="2">
        <v>-0.60028612932038072</v>
      </c>
      <c r="AO3" s="2">
        <v>0.1577492492411787</v>
      </c>
      <c r="AP3" s="2">
        <v>-0.60228190057936626</v>
      </c>
      <c r="AQ3" s="2">
        <v>8.0607107046731491E-2</v>
      </c>
      <c r="AR3" s="2">
        <v>-0.84893592056421274</v>
      </c>
      <c r="AS3" s="2">
        <v>3.7207264624184423E-2</v>
      </c>
      <c r="AT3" s="2">
        <v>-0.85819892222967187</v>
      </c>
      <c r="AU3" s="2">
        <v>4.051786646162029E-2</v>
      </c>
      <c r="AV3" s="2">
        <v>-1.274144517397052</v>
      </c>
      <c r="AW3" s="2">
        <v>2.9575803383748669E-2</v>
      </c>
      <c r="AX3" s="2">
        <v>-1.2132090451061139</v>
      </c>
      <c r="AY3" s="2">
        <v>5.6603470362347807E-2</v>
      </c>
      <c r="AZ3" s="2">
        <v>-0.26319308789690887</v>
      </c>
      <c r="BA3" s="2">
        <v>4.3707674098485153E-2</v>
      </c>
      <c r="BB3" s="2">
        <v>2.969696969696968E-2</v>
      </c>
      <c r="BC3" s="2">
        <v>0.15118368040586541</v>
      </c>
      <c r="BD3" s="2">
        <v>0.18592360169837649</v>
      </c>
      <c r="BE3" s="2">
        <v>0.13011609072574659</v>
      </c>
      <c r="BF3" s="2">
        <v>0.5902339523933231</v>
      </c>
      <c r="BG3" s="2">
        <v>1.490001492784495E-2</v>
      </c>
      <c r="BH3" s="2">
        <v>0.5711111111111109</v>
      </c>
      <c r="BI3" s="2">
        <v>0.1246064116120137</v>
      </c>
      <c r="BJ3" s="2">
        <v>0.6745319532056665</v>
      </c>
      <c r="BK3" s="2">
        <v>3.1888692826694182E-2</v>
      </c>
      <c r="BL3" s="2">
        <v>0.79030834860342325</v>
      </c>
      <c r="BM3" s="2">
        <v>7.4752190393100812E-2</v>
      </c>
      <c r="BN3" s="2">
        <v>0.67247371529863997</v>
      </c>
      <c r="BO3" s="2">
        <v>0.1199291234721566</v>
      </c>
      <c r="BP3" s="2">
        <v>1.195790427771823</v>
      </c>
      <c r="BQ3" s="2">
        <v>0.15920450694930011</v>
      </c>
      <c r="BR3" s="2">
        <v>1.194423925846142</v>
      </c>
      <c r="BS3" s="2">
        <v>0.22418869546125611</v>
      </c>
      <c r="BT3" s="2">
        <v>0.1381431483562531</v>
      </c>
      <c r="BU3" s="2">
        <v>0.1651056883014568</v>
      </c>
      <c r="BV3" s="2">
        <v>0.1257835168180117</v>
      </c>
      <c r="BW3" s="2">
        <v>0.14828208924842889</v>
      </c>
      <c r="BX3" s="2">
        <v>6.9596452451919283E-2</v>
      </c>
      <c r="BY3" s="2">
        <v>0.11726398304404401</v>
      </c>
      <c r="BZ3" s="2">
        <v>0.22614075368993669</v>
      </c>
      <c r="CA3" s="2">
        <v>0.1231716833393481</v>
      </c>
      <c r="CB3" s="2">
        <v>0.32113720012118419</v>
      </c>
      <c r="CC3" s="2">
        <v>0.20521345573387539</v>
      </c>
      <c r="CD3" s="2">
        <v>0.3583984813871981</v>
      </c>
      <c r="CE3" s="2">
        <v>0.18298687058410729</v>
      </c>
      <c r="CF3" s="2">
        <v>0.4112955870266829</v>
      </c>
      <c r="CG3" s="2">
        <v>0.14813765830246639</v>
      </c>
      <c r="CH3" s="2">
        <v>0.57046756719577218</v>
      </c>
      <c r="CI3" s="2">
        <v>6.1663028236087797E-2</v>
      </c>
      <c r="CJ3" s="2">
        <v>0.78516249764604928</v>
      </c>
      <c r="CK3" s="2">
        <v>7.0258464749203886E-2</v>
      </c>
      <c r="CL3" s="2">
        <v>0.64209071305523935</v>
      </c>
      <c r="CM3" s="2">
        <v>4.8557484246547392E-2</v>
      </c>
      <c r="CN3" s="2">
        <v>0.92700022730870446</v>
      </c>
      <c r="CO3" s="2">
        <v>0.19233114301224721</v>
      </c>
      <c r="CP3" s="2">
        <v>0.96856543100854531</v>
      </c>
      <c r="CQ3" s="2">
        <v>0.1776214537632583</v>
      </c>
      <c r="CR3" s="2">
        <v>1.0281435300994961</v>
      </c>
      <c r="CS3" s="2">
        <v>0.14541282236409539</v>
      </c>
      <c r="CT3" s="2">
        <v>1.6231188272341961</v>
      </c>
      <c r="CU3" s="2">
        <v>8.7522166490001163E-2</v>
      </c>
      <c r="CV3" s="2">
        <v>1.974159641441787</v>
      </c>
      <c r="CW3" s="2">
        <v>7.5106552905334009E-2</v>
      </c>
      <c r="CX3" s="2">
        <v>2.326046873342277</v>
      </c>
      <c r="CY3" s="2">
        <v>6.2253192462295243E-2</v>
      </c>
      <c r="CZ3" s="2">
        <v>2.581560491111965</v>
      </c>
      <c r="DA3" s="2">
        <v>6.738887086934886E-2</v>
      </c>
      <c r="DB3" s="2">
        <v>2.6673581509005948</v>
      </c>
      <c r="DC3" s="2">
        <v>3.2994860466793979E-2</v>
      </c>
      <c r="DD3" s="2">
        <v>2.6729243254693311</v>
      </c>
      <c r="DE3" s="2">
        <v>0.1023929377384221</v>
      </c>
      <c r="DF3" s="2">
        <v>2.921279246534596</v>
      </c>
      <c r="DG3" s="2">
        <v>2.8005102359192489E-2</v>
      </c>
      <c r="DH3" s="2">
        <v>2.9479106809471221</v>
      </c>
      <c r="DI3" s="2">
        <v>4.9791246409897398E-2</v>
      </c>
      <c r="DJ3" s="2">
        <v>2.6697086592084029</v>
      </c>
      <c r="DK3" s="2">
        <v>0.1669432620135135</v>
      </c>
      <c r="DL3" s="2">
        <v>2.9775765280180582</v>
      </c>
      <c r="DM3" s="2">
        <v>0.20918638719739929</v>
      </c>
      <c r="DN3" s="2">
        <v>3.207941379282405</v>
      </c>
      <c r="DO3" s="2">
        <v>3.9876298023138267E-2</v>
      </c>
      <c r="DP3" s="2">
        <v>3.096284021739895</v>
      </c>
      <c r="DQ3" s="2">
        <v>0.8705060518590062</v>
      </c>
      <c r="DR3" s="2">
        <v>3.2397132654740921</v>
      </c>
      <c r="DS3" s="2">
        <v>0.21758844583680539</v>
      </c>
      <c r="DT3" s="2">
        <v>3.2622803275377872</v>
      </c>
      <c r="DU3" s="2">
        <v>0.7342583942286256</v>
      </c>
      <c r="DV3" s="2">
        <v>1.9951388888888919</v>
      </c>
      <c r="DW3" s="2">
        <v>1.6525702512921321</v>
      </c>
      <c r="DX3" s="2">
        <v>1.0290542900854021</v>
      </c>
      <c r="DY3" s="2">
        <v>0.1827278372128868</v>
      </c>
      <c r="DZ3" s="2">
        <v>0.68853155981075942</v>
      </c>
      <c r="EA3" s="2">
        <v>0.2282752584746289</v>
      </c>
      <c r="EB3" s="2">
        <v>0.56982855141378197</v>
      </c>
      <c r="EC3" s="2">
        <v>2.8720304541283421</v>
      </c>
      <c r="ED3" s="2">
        <v>-1.4053434174421171</v>
      </c>
      <c r="EE3" s="2">
        <v>0.53234466736956987</v>
      </c>
      <c r="EF3" s="2">
        <v>-2.9891189113668268</v>
      </c>
      <c r="EG3" s="2">
        <v>1.805869407375742</v>
      </c>
      <c r="EH3" s="2">
        <v>-3.2269387114313308</v>
      </c>
      <c r="EI3" s="2">
        <v>3.6099099221249329</v>
      </c>
      <c r="EJ3" s="2">
        <v>-4.778264245910897</v>
      </c>
      <c r="EK3" s="2">
        <v>20.040264199083499</v>
      </c>
      <c r="EL3" s="2">
        <v>-3.480462283882416</v>
      </c>
      <c r="EM3" s="2">
        <v>2.1235727843361079</v>
      </c>
      <c r="EN3" s="2">
        <v>-4.3634322665959901</v>
      </c>
      <c r="EO3" s="2">
        <v>2.3657654406084578</v>
      </c>
      <c r="EP3" s="2">
        <v>-4.3105950450821764</v>
      </c>
      <c r="EQ3" s="2">
        <v>15.187816627422441</v>
      </c>
      <c r="ER3" s="2">
        <v>-4.0963430360926392</v>
      </c>
      <c r="ES3" s="2">
        <v>11.699335785641839</v>
      </c>
      <c r="ET3" s="2">
        <v>-2.7040158202517688</v>
      </c>
      <c r="EU3" s="2">
        <v>13.187635575664199</v>
      </c>
      <c r="EV3" s="2">
        <v>-2.4214527797382321</v>
      </c>
      <c r="EW3">
        <v>16.329345997151631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AB56F-4DF1-434F-9459-00EA8925249A}">
  <dimension ref="A1:CB89"/>
  <sheetViews>
    <sheetView workbookViewId="0">
      <selection activeCell="A2" sqref="A2:B2"/>
    </sheetView>
  </sheetViews>
  <sheetFormatPr defaultRowHeight="14.25" x14ac:dyDescent="0.45"/>
  <cols>
    <col min="2" max="2" width="10.6640625" customWidth="1"/>
  </cols>
  <sheetData>
    <row r="1" spans="1:16" x14ac:dyDescent="0.45">
      <c r="A1" s="12" t="s">
        <v>182</v>
      </c>
      <c r="B1" s="12"/>
      <c r="C1" s="8" t="s">
        <v>180</v>
      </c>
      <c r="D1" s="8" t="s">
        <v>181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x14ac:dyDescent="0.45">
      <c r="A2" s="11" t="s">
        <v>160</v>
      </c>
      <c r="B2" s="11"/>
      <c r="C2" s="5" t="s">
        <v>125</v>
      </c>
      <c r="D2" s="6" t="s">
        <v>3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x14ac:dyDescent="0.4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x14ac:dyDescent="0.4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x14ac:dyDescent="0.4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x14ac:dyDescent="0.4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x14ac:dyDescent="0.4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x14ac:dyDescent="0.4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x14ac:dyDescent="0.4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x14ac:dyDescent="0.4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x14ac:dyDescent="0.4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x14ac:dyDescent="0.4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x14ac:dyDescent="0.4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x14ac:dyDescent="0.4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x14ac:dyDescent="0.4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x14ac:dyDescent="0.4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79" x14ac:dyDescent="0.4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79" x14ac:dyDescent="0.4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79" x14ac:dyDescent="0.4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1:79" x14ac:dyDescent="0.4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79" x14ac:dyDescent="0.4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79" x14ac:dyDescent="0.4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79" x14ac:dyDescent="0.4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79" x14ac:dyDescent="0.4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79" x14ac:dyDescent="0.4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79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79" x14ac:dyDescent="0.4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79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79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2" spans="1:79" x14ac:dyDescent="0.45">
      <c r="A32" s="1" t="s">
        <v>0</v>
      </c>
      <c r="B32" s="1" t="s">
        <v>1</v>
      </c>
      <c r="C32" s="1" t="s">
        <v>2</v>
      </c>
      <c r="D32" s="1" t="s">
        <v>3</v>
      </c>
      <c r="E32" s="1" t="s">
        <v>5</v>
      </c>
      <c r="F32" s="1" t="s">
        <v>7</v>
      </c>
      <c r="G32" s="1" t="s">
        <v>9</v>
      </c>
      <c r="H32" s="1" t="s">
        <v>11</v>
      </c>
      <c r="I32" s="1" t="s">
        <v>13</v>
      </c>
      <c r="J32" s="1" t="s">
        <v>15</v>
      </c>
      <c r="K32" s="1" t="s">
        <v>17</v>
      </c>
      <c r="L32" s="1" t="s">
        <v>19</v>
      </c>
      <c r="M32" s="1" t="s">
        <v>21</v>
      </c>
      <c r="N32" s="1" t="s">
        <v>23</v>
      </c>
      <c r="O32" s="1" t="s">
        <v>25</v>
      </c>
      <c r="P32" s="1" t="s">
        <v>27</v>
      </c>
      <c r="Q32" s="1" t="s">
        <v>29</v>
      </c>
      <c r="R32" s="1" t="s">
        <v>31</v>
      </c>
      <c r="S32" s="1" t="s">
        <v>33</v>
      </c>
      <c r="T32" s="1" t="s">
        <v>35</v>
      </c>
      <c r="U32" s="1" t="s">
        <v>37</v>
      </c>
      <c r="V32" s="1" t="s">
        <v>39</v>
      </c>
      <c r="W32" s="1" t="s">
        <v>41</v>
      </c>
      <c r="X32" s="1" t="s">
        <v>43</v>
      </c>
      <c r="Y32" s="1" t="s">
        <v>45</v>
      </c>
      <c r="Z32" s="1" t="s">
        <v>47</v>
      </c>
      <c r="AA32" s="1" t="s">
        <v>49</v>
      </c>
      <c r="AB32" s="1" t="s">
        <v>51</v>
      </c>
      <c r="AC32" s="1" t="s">
        <v>53</v>
      </c>
      <c r="AD32" s="1" t="s">
        <v>55</v>
      </c>
      <c r="AE32" s="1" t="s">
        <v>57</v>
      </c>
      <c r="AF32" s="1" t="s">
        <v>59</v>
      </c>
      <c r="AG32" s="1" t="s">
        <v>61</v>
      </c>
      <c r="AH32" s="1" t="s">
        <v>63</v>
      </c>
      <c r="AI32" s="1" t="s">
        <v>65</v>
      </c>
      <c r="AJ32" s="1" t="s">
        <v>67</v>
      </c>
      <c r="AK32" s="1" t="s">
        <v>69</v>
      </c>
      <c r="AL32" s="1" t="s">
        <v>71</v>
      </c>
      <c r="AM32" s="1" t="s">
        <v>73</v>
      </c>
      <c r="AN32" s="1" t="s">
        <v>75</v>
      </c>
      <c r="AO32" s="1" t="s">
        <v>77</v>
      </c>
      <c r="AP32" s="1" t="s">
        <v>79</v>
      </c>
      <c r="AQ32" s="1" t="s">
        <v>81</v>
      </c>
      <c r="AR32" s="1" t="s">
        <v>83</v>
      </c>
      <c r="AS32" s="1" t="s">
        <v>85</v>
      </c>
      <c r="AT32" s="1" t="s">
        <v>87</v>
      </c>
      <c r="AU32" s="1" t="s">
        <v>89</v>
      </c>
      <c r="AV32" s="1" t="s">
        <v>91</v>
      </c>
      <c r="AW32" s="1" t="s">
        <v>93</v>
      </c>
      <c r="AX32" s="1" t="s">
        <v>95</v>
      </c>
      <c r="AY32" s="1" t="s">
        <v>97</v>
      </c>
      <c r="AZ32" s="1" t="s">
        <v>99</v>
      </c>
      <c r="BA32" s="1" t="s">
        <v>101</v>
      </c>
      <c r="BB32" s="1" t="s">
        <v>103</v>
      </c>
      <c r="BC32" s="1" t="s">
        <v>105</v>
      </c>
      <c r="BD32" s="1" t="s">
        <v>107</v>
      </c>
      <c r="BE32" s="1" t="s">
        <v>109</v>
      </c>
      <c r="BF32" s="1" t="s">
        <v>111</v>
      </c>
      <c r="BG32" s="1" t="s">
        <v>113</v>
      </c>
      <c r="BH32" s="1" t="s">
        <v>115</v>
      </c>
      <c r="BI32" s="1" t="s">
        <v>117</v>
      </c>
      <c r="BJ32" s="1" t="s">
        <v>119</v>
      </c>
      <c r="BK32" s="1" t="s">
        <v>121</v>
      </c>
      <c r="BL32" s="1" t="s">
        <v>123</v>
      </c>
      <c r="BM32" s="1" t="s">
        <v>125</v>
      </c>
      <c r="BN32" s="1" t="s">
        <v>127</v>
      </c>
      <c r="BO32" s="1" t="s">
        <v>129</v>
      </c>
      <c r="BP32" s="1" t="s">
        <v>131</v>
      </c>
      <c r="BQ32" s="1" t="s">
        <v>133</v>
      </c>
      <c r="BR32" s="1" t="s">
        <v>135</v>
      </c>
      <c r="BS32" s="1" t="s">
        <v>137</v>
      </c>
      <c r="BT32" s="1" t="s">
        <v>139</v>
      </c>
      <c r="BU32" s="1" t="s">
        <v>141</v>
      </c>
      <c r="BV32" s="1" t="s">
        <v>143</v>
      </c>
      <c r="BW32" s="1" t="s">
        <v>145</v>
      </c>
      <c r="BX32" s="1" t="s">
        <v>147</v>
      </c>
      <c r="BY32" s="1" t="s">
        <v>149</v>
      </c>
      <c r="BZ32" s="1" t="s">
        <v>151</v>
      </c>
      <c r="CA32" s="1" t="s">
        <v>153</v>
      </c>
    </row>
    <row r="33" spans="1:80" x14ac:dyDescent="0.45">
      <c r="A33" t="s">
        <v>155</v>
      </c>
      <c r="B33">
        <v>177565</v>
      </c>
      <c r="C33">
        <v>659357</v>
      </c>
      <c r="D33" s="2">
        <v>2.8158339745878749</v>
      </c>
      <c r="E33" s="2">
        <v>2.4751335229309892</v>
      </c>
      <c r="F33" s="2">
        <v>1.900911282886113</v>
      </c>
      <c r="G33" s="2">
        <v>1.9912911447004511</v>
      </c>
      <c r="H33" s="2">
        <v>0.92453824857958211</v>
      </c>
      <c r="I33" s="2">
        <v>1.0018967777436429</v>
      </c>
      <c r="J33" s="2">
        <v>0.66750000000000009</v>
      </c>
      <c r="K33" s="2">
        <v>0.49222222222222239</v>
      </c>
      <c r="L33" s="2">
        <v>0.72271490147395046</v>
      </c>
      <c r="M33" s="2">
        <v>0.67176532337157924</v>
      </c>
      <c r="N33" s="2">
        <v>0.61526872966674739</v>
      </c>
      <c r="O33" s="2">
        <v>7.0709942077970198E-2</v>
      </c>
      <c r="P33" s="2">
        <v>-0.60728925284728752</v>
      </c>
      <c r="Q33" s="2">
        <v>-1.290196519293233</v>
      </c>
      <c r="R33" s="2">
        <v>-1.810982950872547</v>
      </c>
      <c r="S33" s="2">
        <v>-1.315535002920678</v>
      </c>
      <c r="T33" s="2">
        <v>-1.380000000000003</v>
      </c>
      <c r="U33" s="2">
        <v>-1.118850140268173</v>
      </c>
      <c r="V33" s="2">
        <v>-0.66045454545454552</v>
      </c>
      <c r="W33" s="2">
        <v>-1.50806219992514</v>
      </c>
      <c r="X33" s="2">
        <v>-1.636897615747003</v>
      </c>
      <c r="Y33" s="2">
        <v>-1.966760022712041</v>
      </c>
      <c r="Z33" s="2">
        <v>-1.873617416705682</v>
      </c>
      <c r="AA33" s="2">
        <v>-1.968227914922043</v>
      </c>
      <c r="AB33" s="2">
        <v>-1.906502818495758</v>
      </c>
      <c r="AC33" s="2">
        <v>-1.2040626122400691</v>
      </c>
      <c r="AD33" s="2">
        <v>-0.79882733702011688</v>
      </c>
      <c r="AE33" s="2">
        <v>-0.69349950298696761</v>
      </c>
      <c r="AF33" s="2">
        <v>-0.89057679031557013</v>
      </c>
      <c r="AG33" s="2">
        <v>-0.94285436992396121</v>
      </c>
      <c r="AH33" s="2">
        <v>-0.77344640544111931</v>
      </c>
      <c r="AI33" s="2">
        <v>-1.36314394320207</v>
      </c>
      <c r="AJ33" s="2">
        <v>-1.442129591354727</v>
      </c>
      <c r="AK33" s="2">
        <v>-1.8598846548044781</v>
      </c>
      <c r="AL33" s="2">
        <v>-2.8145188307088711</v>
      </c>
      <c r="AM33" s="2">
        <v>-2.777195445432282</v>
      </c>
      <c r="AN33" s="2">
        <v>-2.713343850428791</v>
      </c>
      <c r="AO33" s="2">
        <v>-3.0083976717986149</v>
      </c>
      <c r="AP33" s="2">
        <v>-2.8325393079389931</v>
      </c>
      <c r="AQ33" s="2">
        <v>-2.7662701235909881</v>
      </c>
      <c r="AR33" s="2">
        <v>-2.1698917208732591</v>
      </c>
      <c r="AS33" s="2">
        <v>-1.720274358257462</v>
      </c>
      <c r="AT33" s="2">
        <v>-1.3628371301289031</v>
      </c>
      <c r="AU33" s="2">
        <v>-1.4353661373282001</v>
      </c>
      <c r="AV33" s="2">
        <v>-1.05611042264664</v>
      </c>
      <c r="AW33" s="2">
        <v>-1.014009214538679</v>
      </c>
      <c r="AX33" s="2">
        <v>-1.1517634775917389</v>
      </c>
      <c r="AY33" s="2">
        <v>-0.19053748815535501</v>
      </c>
      <c r="AZ33" s="2">
        <v>-2.6835043331977192E-2</v>
      </c>
      <c r="BA33" s="2">
        <v>0.93868864676341601</v>
      </c>
      <c r="BB33" s="2">
        <v>1.7503097917658339</v>
      </c>
      <c r="BC33" s="2">
        <v>1.7327449433382871</v>
      </c>
      <c r="BD33" s="2">
        <v>1.828082703832153</v>
      </c>
      <c r="BE33" s="2">
        <v>2.0326666666666662</v>
      </c>
      <c r="BF33" s="2">
        <v>2.1141176470588232</v>
      </c>
      <c r="BG33" s="2">
        <v>1.769498223230636</v>
      </c>
      <c r="BH33" s="2">
        <v>1.8056838039252661</v>
      </c>
      <c r="BI33" s="2">
        <v>1.746559114809064</v>
      </c>
      <c r="BJ33" s="2">
        <v>1.952298633641244</v>
      </c>
      <c r="BK33" s="2">
        <v>2.0260601225348678</v>
      </c>
      <c r="BL33" s="2">
        <v>2.9203664013543391</v>
      </c>
      <c r="BM33" s="2">
        <v>2.158264484173309</v>
      </c>
      <c r="BN33" s="2">
        <v>1.9800166392198071</v>
      </c>
      <c r="BO33" s="2">
        <v>1.3125117465846661</v>
      </c>
      <c r="BP33" s="2">
        <v>1.7516770150077139</v>
      </c>
      <c r="BQ33" s="2">
        <v>1.499605509929524</v>
      </c>
      <c r="BR33" s="2">
        <v>1.286706144337521</v>
      </c>
      <c r="BS33" s="2">
        <v>2.2599097510197361</v>
      </c>
      <c r="BT33" s="2">
        <v>2.6870147338813428</v>
      </c>
      <c r="BU33" s="2">
        <v>2.3704702295011661</v>
      </c>
      <c r="BV33" s="2">
        <v>2.1174973497935752</v>
      </c>
      <c r="BW33" s="2">
        <v>1.5417716863744251</v>
      </c>
      <c r="BX33" s="2">
        <v>2.5582018595340559</v>
      </c>
      <c r="BY33" s="2">
        <v>3.6948790593843879</v>
      </c>
      <c r="BZ33" s="2">
        <v>3.002644843859581</v>
      </c>
      <c r="CA33" s="2">
        <v>3.421419975429572</v>
      </c>
      <c r="CB33" s="2">
        <f>MAX(D33:BM33)</f>
        <v>2.9203664013543391</v>
      </c>
    </row>
    <row r="34" spans="1:80" x14ac:dyDescent="0.45">
      <c r="A34" t="s">
        <v>156</v>
      </c>
      <c r="B34">
        <v>177500</v>
      </c>
      <c r="C34">
        <v>659870</v>
      </c>
      <c r="D34" s="2">
        <v>2.328317914731159</v>
      </c>
      <c r="E34" s="2">
        <v>2.3763479702036658</v>
      </c>
      <c r="F34" s="2">
        <v>1.867224202423164</v>
      </c>
      <c r="G34" s="2">
        <v>1.8239942490973959</v>
      </c>
      <c r="H34" s="2">
        <v>1.3481161725770821</v>
      </c>
      <c r="I34" s="2">
        <v>1.1481539787208199</v>
      </c>
      <c r="J34" s="2">
        <v>0.70657127864256253</v>
      </c>
      <c r="K34" s="2">
        <v>0.50705197734756013</v>
      </c>
      <c r="L34" s="2">
        <v>0.72950252129206983</v>
      </c>
      <c r="M34" s="2">
        <v>0.83956407603041905</v>
      </c>
      <c r="N34" s="2">
        <v>0.64148019257503386</v>
      </c>
      <c r="O34" s="2">
        <v>0.32102292518146602</v>
      </c>
      <c r="P34" s="2">
        <v>-0.27002217179646898</v>
      </c>
      <c r="Q34" s="2">
        <v>-1.075080121866332</v>
      </c>
      <c r="R34" s="2">
        <v>-1.6269861892252451</v>
      </c>
      <c r="S34" s="2">
        <v>-0.42894986672312357</v>
      </c>
      <c r="T34" s="2">
        <v>-1.3490476190476191</v>
      </c>
      <c r="U34" s="2">
        <v>-0.33836429378681521</v>
      </c>
      <c r="V34" s="2">
        <v>-0.55750000000000033</v>
      </c>
      <c r="W34" s="2">
        <v>-0.62313432476043007</v>
      </c>
      <c r="X34" s="2">
        <v>-0.99903796395280997</v>
      </c>
      <c r="Y34" s="2">
        <v>-1.3021779327899909</v>
      </c>
      <c r="Z34" s="2">
        <v>-1.2862065506402871</v>
      </c>
      <c r="AA34" s="2">
        <v>-1.273771246168238</v>
      </c>
      <c r="AB34" s="2">
        <v>-1.0467411977427039</v>
      </c>
      <c r="AC34" s="2">
        <v>-0.49387504168697149</v>
      </c>
      <c r="AD34" s="2">
        <v>-0.27383177409694232</v>
      </c>
      <c r="AE34" s="2">
        <v>3.2017423805478111E-2</v>
      </c>
      <c r="AF34" s="2">
        <v>-0.22128299402914281</v>
      </c>
      <c r="AG34" s="2">
        <v>9.8586210528988055E-2</v>
      </c>
      <c r="AH34" s="2">
        <v>-0.20169772812659159</v>
      </c>
      <c r="AI34" s="2">
        <v>-0.92686630602625919</v>
      </c>
      <c r="AJ34" s="2">
        <v>-0.83061401563307846</v>
      </c>
      <c r="AK34" s="2">
        <v>-1.0932941955653279</v>
      </c>
      <c r="AL34" s="2">
        <v>-2.2659647133539411</v>
      </c>
      <c r="AM34" s="2">
        <v>-2.2953082887096512</v>
      </c>
      <c r="AN34" s="2">
        <v>-2.2377113836869729</v>
      </c>
      <c r="AO34" s="2">
        <v>-2.2452626103039419</v>
      </c>
      <c r="AP34" s="2">
        <v>-2.171320720065717</v>
      </c>
      <c r="AQ34" s="2">
        <v>-2.0506365954615879</v>
      </c>
      <c r="AR34" s="2">
        <v>-1.602526034803671</v>
      </c>
      <c r="AS34" s="2">
        <v>-1.462323941456465</v>
      </c>
      <c r="AT34" s="2">
        <v>-2.4395619677255631</v>
      </c>
      <c r="AU34" s="2">
        <v>-0.89854881179552981</v>
      </c>
      <c r="AV34" s="2">
        <v>-0.31696451208956289</v>
      </c>
      <c r="AW34" s="2">
        <v>-6.9646270649380046E-2</v>
      </c>
      <c r="AX34" s="2">
        <v>-0.61209656742093566</v>
      </c>
      <c r="AY34" s="2">
        <v>0.21532272654126899</v>
      </c>
      <c r="AZ34" s="2">
        <v>0.45075625142923958</v>
      </c>
      <c r="BA34" s="2">
        <v>1.2307475361319931</v>
      </c>
      <c r="BB34" s="2">
        <v>1.8463978825418199</v>
      </c>
      <c r="BC34" s="2">
        <v>2.4479304900784622</v>
      </c>
      <c r="BD34" s="2">
        <v>1.832803479381921</v>
      </c>
      <c r="BE34" s="2">
        <v>2.07138637203952</v>
      </c>
      <c r="BF34" s="2">
        <v>3.311011249402926</v>
      </c>
      <c r="BG34" s="2">
        <v>1.9516140370621531</v>
      </c>
      <c r="BH34" s="2">
        <v>2.0666429352210498</v>
      </c>
      <c r="BI34" s="2">
        <v>2.15589933954017</v>
      </c>
      <c r="BJ34" s="2">
        <v>2.115418588430459</v>
      </c>
      <c r="BK34" s="2">
        <v>2.276155708907754</v>
      </c>
      <c r="BL34" s="2">
        <v>2.5527558627975289</v>
      </c>
      <c r="BM34" s="2">
        <v>2.1561138256399399</v>
      </c>
      <c r="BN34" s="2">
        <v>1.3631269238576711</v>
      </c>
      <c r="BO34" s="2">
        <v>0.75491487403772384</v>
      </c>
      <c r="BP34" s="2">
        <v>0.85453261483649079</v>
      </c>
      <c r="BQ34" s="2">
        <v>-0.19154151071666389</v>
      </c>
      <c r="BR34" s="2">
        <v>-0.2644695431120383</v>
      </c>
      <c r="BS34" s="2">
        <v>0.36875191156128551</v>
      </c>
      <c r="BT34" s="2">
        <v>3.3399925375421189</v>
      </c>
      <c r="BU34" s="2">
        <v>1.950458234616707</v>
      </c>
      <c r="BV34" s="2">
        <v>1.512490860292057</v>
      </c>
      <c r="BW34" s="2">
        <v>1.5895833259361789</v>
      </c>
      <c r="BX34" s="2">
        <v>1.197036037624005</v>
      </c>
      <c r="BY34" s="2">
        <v>2.045096771501651</v>
      </c>
      <c r="BZ34" s="2">
        <v>2.806075043349181</v>
      </c>
      <c r="CA34" s="2">
        <v>3.1381489050250941</v>
      </c>
      <c r="CB34" s="2">
        <f t="shared" ref="CB34:CB57" si="0">MAX(D34:BM34)</f>
        <v>3.311011249402926</v>
      </c>
    </row>
    <row r="35" spans="1:80" x14ac:dyDescent="0.45">
      <c r="A35" t="s">
        <v>157</v>
      </c>
      <c r="B35">
        <v>177480</v>
      </c>
      <c r="C35">
        <v>660245</v>
      </c>
      <c r="D35" s="9">
        <v>2.4</v>
      </c>
      <c r="E35" s="9">
        <v>2.0346685859475602</v>
      </c>
      <c r="F35" s="9">
        <v>1.61766117902998</v>
      </c>
      <c r="G35" s="2">
        <v>1.675928783597916</v>
      </c>
      <c r="H35" s="2">
        <v>1.524134108308882</v>
      </c>
      <c r="I35" s="2">
        <v>1.5424585564544031</v>
      </c>
      <c r="J35" s="2">
        <v>0.89054938879179302</v>
      </c>
      <c r="K35" s="2">
        <v>0.84066414358968544</v>
      </c>
      <c r="L35" s="2">
        <v>0.84153846153846101</v>
      </c>
      <c r="M35" s="2">
        <v>0.77615384615384686</v>
      </c>
      <c r="N35" s="2">
        <v>0.66094663942300291</v>
      </c>
      <c r="O35" s="2">
        <v>0.12137307725548679</v>
      </c>
      <c r="P35" s="2">
        <v>3.4259947420618393E-2</v>
      </c>
      <c r="Q35" s="2">
        <v>-0.58849853243683026</v>
      </c>
      <c r="R35" s="2">
        <v>-0.8682130992357201</v>
      </c>
      <c r="S35" s="2">
        <v>-0.17510392578993161</v>
      </c>
      <c r="T35" s="2">
        <v>-1.1713262620043139</v>
      </c>
      <c r="U35" s="2">
        <v>-0.1006454065024118</v>
      </c>
      <c r="V35" s="2">
        <v>-0.35172559887581922</v>
      </c>
      <c r="W35" s="2">
        <v>6.9783256376564726E-2</v>
      </c>
      <c r="X35" s="2">
        <v>-0.36695969457024641</v>
      </c>
      <c r="Y35" s="2">
        <v>-0.77191278201820313</v>
      </c>
      <c r="Z35" s="2">
        <v>-0.84637874299423854</v>
      </c>
      <c r="AA35" s="2">
        <v>-1.0935163554098739</v>
      </c>
      <c r="AB35" s="2">
        <v>-0.60389729601098008</v>
      </c>
      <c r="AC35" s="2">
        <v>-0.27291927411673428</v>
      </c>
      <c r="AD35" s="2">
        <v>-8.7064752354726327E-4</v>
      </c>
      <c r="AE35" s="2">
        <v>0.33235689869308788</v>
      </c>
      <c r="AF35" s="2">
        <v>0.14018829513496961</v>
      </c>
      <c r="AG35" s="2">
        <v>0.46607251450136011</v>
      </c>
      <c r="AH35" s="2">
        <v>-9.2181510290248354E-3</v>
      </c>
      <c r="AI35" s="2">
        <v>-0.76365258070717279</v>
      </c>
      <c r="AJ35" s="2">
        <v>-0.60657728414426826</v>
      </c>
      <c r="AK35" s="2">
        <v>-0.86030789609907854</v>
      </c>
      <c r="AL35" s="2">
        <v>-1.751374985606988</v>
      </c>
      <c r="AM35" s="2">
        <v>-1.835442343820666</v>
      </c>
      <c r="AN35" s="2">
        <v>-1.694393981203115</v>
      </c>
      <c r="AO35" s="2">
        <v>-1.6029716956043689</v>
      </c>
      <c r="AP35" s="2">
        <v>-1.6419811404110749</v>
      </c>
      <c r="AQ35" s="2">
        <v>-1.5768339263539899</v>
      </c>
      <c r="AR35" s="2">
        <v>-1.2321054719156139</v>
      </c>
      <c r="AS35" s="2">
        <v>-1.0165510982364201</v>
      </c>
      <c r="AT35" s="2">
        <v>-2.0912744769246761</v>
      </c>
      <c r="AU35" s="2">
        <v>-0.59698095276225005</v>
      </c>
      <c r="AV35" s="2">
        <v>3.3295949679060147E-2</v>
      </c>
      <c r="AW35" s="2">
        <v>0.23121912575314671</v>
      </c>
      <c r="AX35" s="2">
        <v>-0.16732841514839131</v>
      </c>
      <c r="AY35" s="2">
        <v>0.86148123989116177</v>
      </c>
      <c r="AZ35" s="2">
        <v>0.81505527523474042</v>
      </c>
      <c r="BA35" s="2">
        <v>1.44992895390301</v>
      </c>
      <c r="BB35" s="2">
        <v>1.921459526886629</v>
      </c>
      <c r="BC35" s="2">
        <v>2.5329521350704862</v>
      </c>
      <c r="BD35" s="2">
        <v>2.0559831258649748</v>
      </c>
      <c r="BE35" s="2">
        <v>2.4198345363904479</v>
      </c>
      <c r="BF35" s="2">
        <v>3.5983169073097852</v>
      </c>
      <c r="BG35" s="2">
        <v>2.6315203164633401</v>
      </c>
      <c r="BH35" s="2">
        <v>2.4243691753721568</v>
      </c>
      <c r="BI35" s="2">
        <v>2.5367916920841158</v>
      </c>
      <c r="BJ35" s="2">
        <v>2.3976515007680912</v>
      </c>
      <c r="BK35" s="2">
        <v>2.4277034188856339</v>
      </c>
      <c r="BL35" s="2">
        <v>3.3939910183665321</v>
      </c>
      <c r="BM35" s="2">
        <v>2.0708956917422312</v>
      </c>
      <c r="BN35" s="2">
        <v>1.016138633931458</v>
      </c>
      <c r="BO35" s="2">
        <v>0.81308553936408534</v>
      </c>
      <c r="BP35" s="2">
        <v>7.7314624158394657E-2</v>
      </c>
      <c r="BQ35" s="2">
        <v>-1.4501388552345349</v>
      </c>
      <c r="BR35" s="2">
        <v>-1.6021674463262989</v>
      </c>
      <c r="BS35" s="2">
        <v>-0.56496333347878691</v>
      </c>
      <c r="BT35" s="2">
        <v>2.9298802184825981</v>
      </c>
      <c r="BU35" s="2">
        <v>1.4141311601427891</v>
      </c>
      <c r="BV35" s="2">
        <v>1.1200762399981119</v>
      </c>
      <c r="BW35" s="2">
        <v>1.4464352351693941</v>
      </c>
      <c r="BX35" s="2">
        <v>0.80219970818089448</v>
      </c>
      <c r="BY35" s="2">
        <v>2.1103052371132729</v>
      </c>
      <c r="BZ35" s="2">
        <v>2.510713162559107</v>
      </c>
      <c r="CA35" s="2">
        <v>2.977632628594284</v>
      </c>
      <c r="CB35" s="2">
        <f t="shared" si="0"/>
        <v>3.5983169073097852</v>
      </c>
    </row>
    <row r="36" spans="1:80" x14ac:dyDescent="0.45">
      <c r="A36" t="s">
        <v>158</v>
      </c>
      <c r="B36">
        <v>177730</v>
      </c>
      <c r="C36">
        <v>661270</v>
      </c>
      <c r="D36" s="2">
        <v>1.9</v>
      </c>
      <c r="E36" s="2">
        <v>1.896683127124384</v>
      </c>
      <c r="F36" s="2">
        <v>1.672841770883611</v>
      </c>
      <c r="G36" s="2">
        <v>1.961802927321719</v>
      </c>
      <c r="H36" s="2">
        <v>1.5929181310959211</v>
      </c>
      <c r="I36" s="2">
        <v>1.227518643068346</v>
      </c>
      <c r="J36" s="2">
        <v>0.49352620506072448</v>
      </c>
      <c r="K36" s="2">
        <v>0.38695034086905078</v>
      </c>
      <c r="L36" s="2">
        <v>0.6735155215644012</v>
      </c>
      <c r="M36" s="2">
        <v>0.54198333530861065</v>
      </c>
      <c r="N36" s="2">
        <v>0.46034041495836048</v>
      </c>
      <c r="O36" s="2">
        <v>-0.13761550116314181</v>
      </c>
      <c r="P36" s="2">
        <v>-0.20154671668677129</v>
      </c>
      <c r="Q36" s="2">
        <v>-0.48258249971239758</v>
      </c>
      <c r="R36" s="2">
        <v>-0.21844061842382601</v>
      </c>
      <c r="S36" s="2">
        <v>-0.46769230769230757</v>
      </c>
      <c r="T36" s="2">
        <v>-0.38393699447627327</v>
      </c>
      <c r="U36" s="2">
        <v>-1.193687294826608E-2</v>
      </c>
      <c r="V36" s="2">
        <v>4.8406524350480047E-2</v>
      </c>
      <c r="W36" s="2">
        <v>-0.22981675202394761</v>
      </c>
      <c r="X36" s="2">
        <v>-0.49421891693885511</v>
      </c>
      <c r="Y36" s="2">
        <v>-0.61339263503538199</v>
      </c>
      <c r="Z36" s="2">
        <v>-0.67578476260910991</v>
      </c>
      <c r="AA36" s="2">
        <v>-0.85847247835899387</v>
      </c>
      <c r="AB36" s="2">
        <v>-0.29041279536321363</v>
      </c>
      <c r="AC36" s="2">
        <v>3.2626174333591523E-2</v>
      </c>
      <c r="AD36" s="2">
        <v>0.61991791848709465</v>
      </c>
      <c r="AE36" s="2">
        <v>0.57246872947298344</v>
      </c>
      <c r="AF36" s="2">
        <v>0.51437722922805185</v>
      </c>
      <c r="AG36" s="2">
        <v>0.44929608658804998</v>
      </c>
      <c r="AH36" s="2">
        <v>0.69823314841466488</v>
      </c>
      <c r="AI36" s="2">
        <v>-0.40540850324699379</v>
      </c>
      <c r="AJ36" s="2">
        <v>0.1750209642739739</v>
      </c>
      <c r="AK36" s="2">
        <v>3.8069333478882292E-2</v>
      </c>
      <c r="AL36" s="2">
        <v>-0.49792298913058369</v>
      </c>
      <c r="AM36" s="2">
        <v>-0.52686198098902948</v>
      </c>
      <c r="AN36" s="2">
        <v>-0.3120115534654202</v>
      </c>
      <c r="AO36" s="2">
        <v>-0.1546066055089336</v>
      </c>
      <c r="AP36" s="2">
        <v>-0.23992828528982951</v>
      </c>
      <c r="AQ36" s="2">
        <v>-0.31666076300682511</v>
      </c>
      <c r="AR36" s="2">
        <v>-0.2149144813897185</v>
      </c>
      <c r="AS36" s="2">
        <v>0.30371138309674539</v>
      </c>
      <c r="AT36" s="2">
        <v>0.3311696166916987</v>
      </c>
      <c r="AU36" s="2">
        <v>0.28560394260535749</v>
      </c>
      <c r="AV36" s="2">
        <v>0.73551986101288946</v>
      </c>
      <c r="AW36" s="2">
        <v>0.70281736452154286</v>
      </c>
      <c r="AX36" s="2">
        <v>0.6737749741925052</v>
      </c>
      <c r="AY36" s="2">
        <v>2.6280404899010161</v>
      </c>
      <c r="AZ36" s="2">
        <v>1.3735871184800861</v>
      </c>
      <c r="BA36" s="2">
        <v>2.1594497837243178</v>
      </c>
      <c r="BB36" s="2">
        <v>2.4219905497381622</v>
      </c>
      <c r="BC36" s="2">
        <v>2.5358089304727192</v>
      </c>
      <c r="BD36" s="2">
        <v>2.4872346100300429</v>
      </c>
      <c r="BE36" s="2">
        <v>2.8031399257585079</v>
      </c>
      <c r="BF36" s="2">
        <v>2.8577380044849501</v>
      </c>
      <c r="BG36" s="2">
        <v>2.7538890128783731</v>
      </c>
      <c r="BH36" s="2">
        <v>2.948821858914489</v>
      </c>
      <c r="BI36" s="2">
        <v>3.193057728507168</v>
      </c>
      <c r="BJ36" s="2">
        <v>3.1184768033421428</v>
      </c>
      <c r="BK36" s="2">
        <v>3.1039545366605328</v>
      </c>
      <c r="BL36" s="2">
        <v>3.326166235895347</v>
      </c>
      <c r="BM36" s="2">
        <v>2.0744411936169578</v>
      </c>
      <c r="BN36" s="2">
        <v>1.133820847500502</v>
      </c>
      <c r="BO36" s="2">
        <v>0.66780788957443682</v>
      </c>
      <c r="BP36" s="2">
        <v>-9.5701420692170427E-2</v>
      </c>
      <c r="BQ36" s="2">
        <v>-2.42281868564895</v>
      </c>
      <c r="BR36" s="2">
        <v>-3.8448042381652638</v>
      </c>
      <c r="BS36" s="2">
        <v>-2.850159936720404</v>
      </c>
      <c r="BT36" s="2">
        <v>-0.67011668644230793</v>
      </c>
      <c r="BU36" s="2">
        <v>-0.63515331811990272</v>
      </c>
      <c r="BV36" s="2">
        <v>-0.1100261431768286</v>
      </c>
      <c r="BW36" s="2">
        <v>0.16826993794612541</v>
      </c>
      <c r="BX36" s="2">
        <v>-1.1300525942249791</v>
      </c>
      <c r="BY36" s="2">
        <v>0.38679745324657983</v>
      </c>
      <c r="BZ36" s="2">
        <v>0.6112945918966084</v>
      </c>
      <c r="CA36" s="2"/>
      <c r="CB36" s="2">
        <f t="shared" si="0"/>
        <v>3.326166235895347</v>
      </c>
    </row>
    <row r="37" spans="1:80" x14ac:dyDescent="0.45">
      <c r="A37" t="s">
        <v>159</v>
      </c>
      <c r="B37">
        <v>177980</v>
      </c>
      <c r="C37">
        <v>662360</v>
      </c>
      <c r="D37" s="2">
        <v>1.1000000000000001</v>
      </c>
      <c r="E37" s="2">
        <v>1.906339237469624</v>
      </c>
      <c r="F37" s="2">
        <v>1.0309070102826019</v>
      </c>
      <c r="G37" s="2">
        <v>1.90091450564676</v>
      </c>
      <c r="H37" s="2">
        <v>1.3869106812443439</v>
      </c>
      <c r="I37" s="2">
        <v>0.2920603109184759</v>
      </c>
      <c r="J37" s="2">
        <v>-0.2025765600595634</v>
      </c>
      <c r="K37" s="2">
        <v>0.3406555033280414</v>
      </c>
      <c r="L37" s="2">
        <v>0.37675190632913091</v>
      </c>
      <c r="M37" s="2">
        <v>6.0955331920452022E-2</v>
      </c>
      <c r="N37" s="2">
        <v>0.56872044004748545</v>
      </c>
      <c r="O37" s="2">
        <v>-0.55833368898134006</v>
      </c>
      <c r="P37" s="2">
        <v>-0.31697366812852279</v>
      </c>
      <c r="Q37" s="2">
        <v>-0.41851851851851879</v>
      </c>
      <c r="R37" s="2">
        <v>-0.29407407407407421</v>
      </c>
      <c r="S37" s="2">
        <v>-0.41</v>
      </c>
      <c r="T37" s="2">
        <v>-0.31416345804653728</v>
      </c>
      <c r="U37" s="2">
        <v>-0.49849223507065199</v>
      </c>
      <c r="V37" s="2">
        <v>-0.60028612932038072</v>
      </c>
      <c r="W37" s="2">
        <v>-0.60228190057936626</v>
      </c>
      <c r="X37" s="2">
        <v>-0.84893592056421274</v>
      </c>
      <c r="Y37" s="2">
        <v>-0.85819892222967187</v>
      </c>
      <c r="Z37" s="2">
        <v>-1.274144517397052</v>
      </c>
      <c r="AA37" s="2">
        <v>-1.2132090451061139</v>
      </c>
      <c r="AB37" s="2">
        <v>-0.26319308789690887</v>
      </c>
      <c r="AC37" s="2">
        <v>2.969696969696968E-2</v>
      </c>
      <c r="AD37" s="2">
        <v>0.18592360169837649</v>
      </c>
      <c r="AE37" s="2">
        <v>0.5902339523933231</v>
      </c>
      <c r="AF37" s="2">
        <v>0.5711111111111109</v>
      </c>
      <c r="AG37" s="2">
        <v>0.6745319532056665</v>
      </c>
      <c r="AH37" s="2">
        <v>0.79030834860342325</v>
      </c>
      <c r="AI37" s="2">
        <v>0.67247371529863997</v>
      </c>
      <c r="AJ37" s="2">
        <v>1.195790427771823</v>
      </c>
      <c r="AK37" s="2">
        <v>1.194423925846142</v>
      </c>
      <c r="AL37" s="2">
        <v>0.1381431483562531</v>
      </c>
      <c r="AM37" s="2">
        <v>0.1257835168180117</v>
      </c>
      <c r="AN37" s="2">
        <v>6.9596452451919283E-2</v>
      </c>
      <c r="AO37" s="2">
        <v>0.22614075368993669</v>
      </c>
      <c r="AP37" s="2">
        <v>0.32113720012118419</v>
      </c>
      <c r="AQ37" s="2">
        <v>0.3583984813871981</v>
      </c>
      <c r="AR37" s="2">
        <v>0.4112955870266829</v>
      </c>
      <c r="AS37" s="2">
        <v>0.57046756719577218</v>
      </c>
      <c r="AT37" s="2">
        <v>0.78516249764604928</v>
      </c>
      <c r="AU37" s="2">
        <v>0.64209071305523935</v>
      </c>
      <c r="AV37" s="2">
        <v>0.92700022730870446</v>
      </c>
      <c r="AW37" s="2">
        <v>0.96856543100854531</v>
      </c>
      <c r="AX37" s="2">
        <v>1.0281435300994961</v>
      </c>
      <c r="AY37" s="2">
        <v>1.6231188272341961</v>
      </c>
      <c r="AZ37" s="2">
        <v>1.974159641441787</v>
      </c>
      <c r="BA37" s="2">
        <v>2.326046873342277</v>
      </c>
      <c r="BB37" s="2">
        <v>2.581560491111965</v>
      </c>
      <c r="BC37" s="2">
        <v>2.6673581509005948</v>
      </c>
      <c r="BD37" s="2">
        <v>2.6729243254693311</v>
      </c>
      <c r="BE37" s="2">
        <v>2.921279246534596</v>
      </c>
      <c r="BF37" s="2">
        <v>2.9479106809471221</v>
      </c>
      <c r="BG37" s="2">
        <v>2.6697086592084029</v>
      </c>
      <c r="BH37" s="2">
        <v>2.9775765280180582</v>
      </c>
      <c r="BI37" s="2">
        <v>3.207941379282405</v>
      </c>
      <c r="BJ37" s="2">
        <v>3.096284021739895</v>
      </c>
      <c r="BK37" s="2">
        <v>3.2397132654740921</v>
      </c>
      <c r="BL37" s="2">
        <v>3.2622803275377872</v>
      </c>
      <c r="BM37" s="2">
        <v>1.9951388888888919</v>
      </c>
      <c r="BN37" s="2">
        <v>1.0290542900854021</v>
      </c>
      <c r="BO37" s="2">
        <v>0.68853155981075942</v>
      </c>
      <c r="BP37" s="2">
        <v>0.56982855141378197</v>
      </c>
      <c r="BQ37" s="2">
        <v>-1.4053434174421171</v>
      </c>
      <c r="BR37" s="2">
        <v>-2.9891189113668268</v>
      </c>
      <c r="BS37" s="2">
        <v>-3.2269387114313308</v>
      </c>
      <c r="BT37" s="2">
        <v>-4.778264245910897</v>
      </c>
      <c r="BU37" s="2">
        <v>-3.480462283882416</v>
      </c>
      <c r="BV37" s="2">
        <v>-4.3634322665959901</v>
      </c>
      <c r="BW37" s="2">
        <v>-4.3105950450821764</v>
      </c>
      <c r="BX37" s="2">
        <v>-4.0963430360926392</v>
      </c>
      <c r="BY37" s="2">
        <v>-2.7040158202517688</v>
      </c>
      <c r="BZ37" s="2">
        <v>-2.4214527797382321</v>
      </c>
      <c r="CA37" s="2"/>
      <c r="CB37" s="2">
        <f t="shared" si="0"/>
        <v>3.2622803275377872</v>
      </c>
    </row>
    <row r="38" spans="1:80" x14ac:dyDescent="0.45">
      <c r="A38" t="s">
        <v>160</v>
      </c>
      <c r="B38">
        <v>178075</v>
      </c>
      <c r="C38">
        <v>663785</v>
      </c>
      <c r="D38" s="2">
        <v>0.6</v>
      </c>
      <c r="E38" s="2">
        <v>0.65580326792764865</v>
      </c>
      <c r="F38" s="2">
        <v>1.152864113743107</v>
      </c>
      <c r="G38" s="2">
        <v>1.397521331857694</v>
      </c>
      <c r="H38" s="2">
        <v>0.72340894846349968</v>
      </c>
      <c r="I38" s="2">
        <v>8.2609663181253123E-2</v>
      </c>
      <c r="J38" s="2">
        <v>-0.31688066831214678</v>
      </c>
      <c r="K38" s="2">
        <v>0.1153896098408986</v>
      </c>
      <c r="L38" s="2">
        <v>0.21214857186082409</v>
      </c>
      <c r="M38" s="2">
        <v>-0.24910051293933549</v>
      </c>
      <c r="N38" s="2">
        <v>-2.7198864486658699E-2</v>
      </c>
      <c r="O38" s="2">
        <v>1.12174770522088</v>
      </c>
      <c r="P38" s="2">
        <v>-0.54286108531172883</v>
      </c>
      <c r="Q38" s="2">
        <v>-0.59107021946256144</v>
      </c>
      <c r="R38" s="2">
        <v>-0.41873075296372519</v>
      </c>
      <c r="S38" s="2">
        <v>-0.4504225997243515</v>
      </c>
      <c r="T38" s="2">
        <v>-0.51121364294411964</v>
      </c>
      <c r="U38" s="2">
        <v>-0.60253845925559535</v>
      </c>
      <c r="V38" s="2">
        <v>-0.55303891410642914</v>
      </c>
      <c r="W38" s="2">
        <v>-0.71062539162610217</v>
      </c>
      <c r="X38" s="2">
        <v>-0.99528465827210189</v>
      </c>
      <c r="Y38" s="2">
        <v>-0.98390855871561189</v>
      </c>
      <c r="Z38" s="2">
        <v>-1.034892952451133</v>
      </c>
      <c r="AA38" s="2">
        <v>-1.1303514096691689</v>
      </c>
      <c r="AB38" s="2">
        <v>-0.36861798759867009</v>
      </c>
      <c r="AC38" s="2">
        <v>2.2664940850941218E-2</v>
      </c>
      <c r="AD38" s="2">
        <v>0.1028434716182305</v>
      </c>
      <c r="AE38" s="2">
        <v>0.15341860315510061</v>
      </c>
      <c r="AF38" s="2">
        <v>0.44642020686069322</v>
      </c>
      <c r="AG38" s="2">
        <v>0.42578277974444151</v>
      </c>
      <c r="AH38" s="2">
        <v>0.69188551786821628</v>
      </c>
      <c r="AI38" s="2">
        <v>0.84820313637860567</v>
      </c>
      <c r="AJ38" s="2">
        <v>1.091453774449624</v>
      </c>
      <c r="AK38" s="2">
        <v>1.159673275591093</v>
      </c>
      <c r="AL38" s="2">
        <v>0.78149807362417967</v>
      </c>
      <c r="AM38" s="2">
        <v>0.30005588387623788</v>
      </c>
      <c r="AN38" s="2">
        <v>0.561803586751771</v>
      </c>
      <c r="AO38" s="2">
        <v>0.65469954227899207</v>
      </c>
      <c r="AP38" s="2">
        <v>0.63904701400289221</v>
      </c>
      <c r="AQ38" s="2">
        <v>0.64068335069838223</v>
      </c>
      <c r="AR38" s="2">
        <v>0.69900504756542281</v>
      </c>
      <c r="AS38" s="2">
        <v>0.74279300238496215</v>
      </c>
      <c r="AT38" s="2">
        <v>0.77741777035348536</v>
      </c>
      <c r="AU38" s="2">
        <v>0.98620802677913988</v>
      </c>
      <c r="AV38" s="2">
        <v>1.1661812383686541</v>
      </c>
      <c r="AW38" s="2">
        <v>1.137278237744169</v>
      </c>
      <c r="AX38" s="2">
        <v>1.279309708211287</v>
      </c>
      <c r="AY38" s="2">
        <v>1.6442255583405729</v>
      </c>
      <c r="AZ38" s="2">
        <v>1.682401766387047</v>
      </c>
      <c r="BA38" s="2">
        <v>2.0001015456367308</v>
      </c>
      <c r="BB38" s="2">
        <v>2.409657429642857</v>
      </c>
      <c r="BC38" s="2">
        <v>2.5824093807404291</v>
      </c>
      <c r="BD38" s="2">
        <v>2.6009417400235328</v>
      </c>
      <c r="BE38" s="2">
        <v>2.75960161257531</v>
      </c>
      <c r="BF38" s="2">
        <v>2.8722675672168099</v>
      </c>
      <c r="BG38" s="2">
        <v>2.6616071759772071</v>
      </c>
      <c r="BH38" s="2">
        <v>3.0182958398972581</v>
      </c>
      <c r="BI38" s="2">
        <v>2.9477018700570188</v>
      </c>
      <c r="BJ38" s="2">
        <v>2.721129686481782</v>
      </c>
      <c r="BK38" s="2">
        <v>2.5426998169310369</v>
      </c>
      <c r="BL38" s="2">
        <v>2.7435699544701699</v>
      </c>
      <c r="BM38" s="2">
        <v>1.561762787267613</v>
      </c>
      <c r="BN38" s="2">
        <v>1.136737815523492</v>
      </c>
      <c r="BO38" s="2">
        <v>0.88848374313594936</v>
      </c>
      <c r="BP38" s="2">
        <v>0.89328044222764946</v>
      </c>
      <c r="BQ38" s="2">
        <v>-0.57941056845200856</v>
      </c>
      <c r="BR38" s="2">
        <v>-1.230821517678228</v>
      </c>
      <c r="BS38" s="2">
        <v>-4.0365867812092979</v>
      </c>
      <c r="BT38" s="2">
        <v>-5.4387500000000024</v>
      </c>
      <c r="BU38" s="2">
        <v>-5.1381070604261048</v>
      </c>
      <c r="BV38" s="2">
        <v>-4.8720512113730488</v>
      </c>
      <c r="BW38" s="2">
        <v>-4.7934848864984714</v>
      </c>
      <c r="BX38" s="2">
        <v>-5.2971731597197476</v>
      </c>
      <c r="BY38" s="2">
        <v>-5.0187907219683394</v>
      </c>
      <c r="BZ38" s="2">
        <v>-3.1798911039219488</v>
      </c>
      <c r="CA38" s="2"/>
      <c r="CB38" s="2">
        <f t="shared" si="0"/>
        <v>3.0182958398972581</v>
      </c>
    </row>
    <row r="39" spans="1:80" x14ac:dyDescent="0.45">
      <c r="A39" t="s">
        <v>161</v>
      </c>
      <c r="B39">
        <v>178555</v>
      </c>
      <c r="C39">
        <v>664210</v>
      </c>
      <c r="D39" s="2">
        <v>0.4</v>
      </c>
      <c r="E39" s="2">
        <v>0.40148325781142591</v>
      </c>
      <c r="F39" s="2">
        <v>1.0792544819923831</v>
      </c>
      <c r="G39" s="2">
        <v>1.1385158367658399</v>
      </c>
      <c r="H39" s="2">
        <v>0.68631106064137415</v>
      </c>
      <c r="I39" s="2">
        <v>-9.3574803548318153E-2</v>
      </c>
      <c r="J39" s="2">
        <v>-9.4074074074074809E-2</v>
      </c>
      <c r="K39" s="2">
        <v>0.53633333333332989</v>
      </c>
      <c r="L39" s="2">
        <v>9.4451108175255927E-2</v>
      </c>
      <c r="M39" s="2">
        <v>-3.6187422873185743E-2</v>
      </c>
      <c r="N39" s="2">
        <v>0.46299999995182411</v>
      </c>
      <c r="O39" s="2">
        <v>1.1343333333333321</v>
      </c>
      <c r="P39" s="2">
        <v>-0.69329380121080608</v>
      </c>
      <c r="Q39" s="2">
        <v>-0.81874031357826105</v>
      </c>
      <c r="R39" s="2">
        <v>-0.34593613520343119</v>
      </c>
      <c r="S39" s="2">
        <v>-0.40918454081092059</v>
      </c>
      <c r="T39" s="2">
        <v>-0.49859319314443229</v>
      </c>
      <c r="U39" s="2">
        <v>-0.6180682078372729</v>
      </c>
      <c r="V39" s="2">
        <v>-0.50682325433867392</v>
      </c>
      <c r="W39" s="2">
        <v>-0.86998289397507877</v>
      </c>
      <c r="X39" s="2">
        <v>-1.061617994021488</v>
      </c>
      <c r="Y39" s="2">
        <v>-0.98192280209480975</v>
      </c>
      <c r="Z39" s="2">
        <v>-1.2524809322902699</v>
      </c>
      <c r="AA39" s="2">
        <v>-1.2938690978261871</v>
      </c>
      <c r="AB39" s="2">
        <v>-0.48212732983725798</v>
      </c>
      <c r="AC39" s="2">
        <v>-0.1027257045644499</v>
      </c>
      <c r="AD39" s="2">
        <v>6.477292285305121E-2</v>
      </c>
      <c r="AE39" s="2">
        <v>0.2340746378065427</v>
      </c>
      <c r="AF39" s="2">
        <v>0.58148148148148182</v>
      </c>
      <c r="AG39" s="2">
        <v>0.7001335637672782</v>
      </c>
      <c r="AH39" s="2">
        <v>0.85610556974792362</v>
      </c>
      <c r="AI39" s="2">
        <v>0.74187804351135744</v>
      </c>
      <c r="AJ39" s="2">
        <v>1.1646775297334511</v>
      </c>
      <c r="AK39" s="2">
        <v>1.7348668793912541</v>
      </c>
      <c r="AL39" s="2">
        <v>1.0303371772647549</v>
      </c>
      <c r="AM39" s="2">
        <v>0.38661014553430628</v>
      </c>
      <c r="AN39" s="2">
        <v>0.48612964958192451</v>
      </c>
      <c r="AO39" s="2">
        <v>0.34597576239627631</v>
      </c>
      <c r="AP39" s="2">
        <v>1.1711905084070751</v>
      </c>
      <c r="AQ39" s="2">
        <v>1.1216875231246699</v>
      </c>
      <c r="AR39" s="2">
        <v>1.184196951165736</v>
      </c>
      <c r="AS39" s="2">
        <v>0.47632199899424799</v>
      </c>
      <c r="AT39" s="2">
        <v>0.62374109703737357</v>
      </c>
      <c r="AU39" s="2">
        <v>0.58704363822322214</v>
      </c>
      <c r="AV39" s="2">
        <v>1.7343658798892141</v>
      </c>
      <c r="AW39" s="2">
        <v>1.525626225951185</v>
      </c>
      <c r="AX39" s="2">
        <v>1.64425368323256</v>
      </c>
      <c r="AY39" s="2">
        <v>1.867452967752286</v>
      </c>
      <c r="AZ39" s="2">
        <v>2.4793927165121912</v>
      </c>
      <c r="BA39" s="2">
        <v>2.4676467019462769</v>
      </c>
      <c r="BB39" s="2">
        <v>2.639224506986861</v>
      </c>
      <c r="BC39" s="2">
        <v>2.685668630814146</v>
      </c>
      <c r="BD39" s="2">
        <v>2.620288920114402</v>
      </c>
      <c r="BE39" s="2">
        <v>3.0601315857946512</v>
      </c>
      <c r="BF39" s="2">
        <v>2.848393515670713</v>
      </c>
      <c r="BG39" s="2">
        <v>2.7486834013626078</v>
      </c>
      <c r="BH39" s="2">
        <v>3.3264919340959</v>
      </c>
      <c r="BI39" s="2">
        <v>3.542028166518608</v>
      </c>
      <c r="BJ39" s="2">
        <v>3.743863189914705</v>
      </c>
      <c r="BK39" s="2">
        <v>3.0161415866919268</v>
      </c>
      <c r="BL39" s="2">
        <v>2.632972950323671</v>
      </c>
      <c r="BM39" s="2">
        <v>1.496479086823117</v>
      </c>
      <c r="BN39" s="2">
        <v>1.623818953595151</v>
      </c>
      <c r="BO39" s="2">
        <v>0.68241126784728068</v>
      </c>
      <c r="BP39" s="2">
        <v>0.41211169652827528</v>
      </c>
      <c r="BQ39" s="2">
        <v>-0.51048058225059334</v>
      </c>
      <c r="BR39" s="2">
        <v>-1.6437296441134259</v>
      </c>
      <c r="BS39" s="2">
        <v>-2.985293952270629</v>
      </c>
      <c r="BT39" s="2">
        <v>-4.9770356032734862</v>
      </c>
      <c r="BU39" s="2">
        <v>-4.9600936972985998</v>
      </c>
      <c r="BV39" s="2">
        <v>-4.2212933143569042</v>
      </c>
      <c r="BW39" s="2">
        <v>-5.185555555555557</v>
      </c>
      <c r="BX39" s="2">
        <v>-5.2017642883905149</v>
      </c>
      <c r="BY39" s="2">
        <v>-5.3067920555112984</v>
      </c>
      <c r="BZ39" s="2">
        <v>-2.6864994208384352</v>
      </c>
      <c r="CA39" s="2"/>
      <c r="CB39" s="2">
        <f t="shared" si="0"/>
        <v>3.743863189914705</v>
      </c>
    </row>
    <row r="40" spans="1:80" x14ac:dyDescent="0.45">
      <c r="A40" t="s">
        <v>162</v>
      </c>
      <c r="B40">
        <v>179300</v>
      </c>
      <c r="C40">
        <v>664390</v>
      </c>
      <c r="D40" s="2">
        <v>0.4</v>
      </c>
      <c r="E40" s="2">
        <v>0.56864918630289751</v>
      </c>
      <c r="F40" s="2">
        <v>1.023246160000912</v>
      </c>
      <c r="G40" s="2">
        <v>0.96684008559657264</v>
      </c>
      <c r="H40" s="2">
        <v>0.4876452008574072</v>
      </c>
      <c r="I40" s="2">
        <v>-0.25602478975828702</v>
      </c>
      <c r="J40" s="2">
        <v>-0.46693048452892377</v>
      </c>
      <c r="K40" s="2">
        <v>0.65624999999999967</v>
      </c>
      <c r="L40" s="2">
        <v>0.21457324244913231</v>
      </c>
      <c r="M40" s="2">
        <v>-0.28853243800342587</v>
      </c>
      <c r="N40" s="2">
        <v>0.1594840592904298</v>
      </c>
      <c r="O40" s="2">
        <v>1.54375</v>
      </c>
      <c r="P40" s="2">
        <v>-0.904621787628618</v>
      </c>
      <c r="Q40" s="2">
        <v>-1.060500209923289</v>
      </c>
      <c r="R40" s="2">
        <v>-0.64095418231607559</v>
      </c>
      <c r="S40" s="2">
        <v>-0.48146402507221492</v>
      </c>
      <c r="T40" s="2">
        <v>-0.53992486110902438</v>
      </c>
      <c r="U40" s="2">
        <v>-0.55617708243876851</v>
      </c>
      <c r="V40" s="2">
        <v>-0.61011435670608138</v>
      </c>
      <c r="W40" s="2">
        <v>-0.91416963586730149</v>
      </c>
      <c r="X40" s="2">
        <v>-1.055848604791318</v>
      </c>
      <c r="Y40" s="2">
        <v>-1.0921818181818179</v>
      </c>
      <c r="Z40" s="2">
        <v>-1.2174545454545449</v>
      </c>
      <c r="AA40" s="2">
        <v>-1.2056498107995031</v>
      </c>
      <c r="AB40" s="2">
        <v>-0.55758974358974367</v>
      </c>
      <c r="AC40" s="2">
        <v>-0.1172438652863475</v>
      </c>
      <c r="AD40" s="2">
        <v>-4.1764342755012007E-2</v>
      </c>
      <c r="AE40" s="2">
        <v>0.23281040817918119</v>
      </c>
      <c r="AF40" s="2">
        <v>0.60721127951261389</v>
      </c>
      <c r="AG40" s="2">
        <v>0.65997989636777732</v>
      </c>
      <c r="AH40" s="2">
        <v>0.81164829642718928</v>
      </c>
      <c r="AI40" s="2">
        <v>1.2511135683569869</v>
      </c>
      <c r="AJ40" s="2">
        <v>1.769285732661859</v>
      </c>
      <c r="AK40" s="2">
        <v>1.563873258154775</v>
      </c>
      <c r="AL40" s="2">
        <v>0.80226963688803177</v>
      </c>
      <c r="AM40" s="2">
        <v>0.82151515151515164</v>
      </c>
      <c r="AN40" s="2">
        <v>0.51749379274495655</v>
      </c>
      <c r="AO40" s="2">
        <v>0.33583333333333348</v>
      </c>
      <c r="AP40" s="2">
        <v>0.27768755169032833</v>
      </c>
      <c r="AQ40" s="2">
        <v>0.20579828295297531</v>
      </c>
      <c r="AR40" s="2">
        <v>0.61602161365866659</v>
      </c>
      <c r="AS40" s="2">
        <v>0.21474358974358959</v>
      </c>
      <c r="AT40" s="2">
        <v>0.32458333333333339</v>
      </c>
      <c r="AU40" s="2">
        <v>0.38971690405536008</v>
      </c>
      <c r="AV40" s="2">
        <v>0.90142672047539529</v>
      </c>
      <c r="AW40" s="2">
        <v>0.60280326797656558</v>
      </c>
      <c r="AX40" s="2">
        <v>0.93297121973391672</v>
      </c>
      <c r="AY40" s="2">
        <v>1.294573060785724</v>
      </c>
      <c r="AZ40" s="2">
        <v>1.393424191531895</v>
      </c>
      <c r="BA40" s="2">
        <v>1.376879198168097</v>
      </c>
      <c r="BB40" s="2">
        <v>1.778566016624942</v>
      </c>
      <c r="BC40" s="2">
        <v>1.832302455790515</v>
      </c>
      <c r="BD40" s="2">
        <v>2.4993131541909248</v>
      </c>
      <c r="BE40" s="2">
        <v>2.2620726562274389</v>
      </c>
      <c r="BF40" s="2">
        <v>2.4186949990949671</v>
      </c>
      <c r="BG40" s="2">
        <v>2.860475664489265</v>
      </c>
      <c r="BH40" s="2">
        <v>2.8008060370468799</v>
      </c>
      <c r="BI40" s="2">
        <v>3.438780878423688</v>
      </c>
      <c r="BJ40" s="2">
        <v>3.2739237085049222</v>
      </c>
      <c r="BK40" s="2">
        <v>2.580312181551363</v>
      </c>
      <c r="BL40" s="2">
        <v>2.831850163966346</v>
      </c>
      <c r="BM40" s="2">
        <v>1.407223751395843</v>
      </c>
      <c r="BN40" s="2">
        <v>0.45336057116394002</v>
      </c>
      <c r="BO40" s="2">
        <v>0.67133467972429051</v>
      </c>
      <c r="BP40" s="2">
        <v>0.26347724644425191</v>
      </c>
      <c r="BQ40" s="2">
        <v>-0.59891965260604141</v>
      </c>
      <c r="BR40" s="2">
        <v>-1.9493092503245919</v>
      </c>
      <c r="BS40" s="2">
        <v>-4.2363886934691566</v>
      </c>
      <c r="BT40" s="2">
        <v>-6.2804346282400916</v>
      </c>
      <c r="BU40" s="2">
        <v>-6.4160487688692367</v>
      </c>
      <c r="BV40" s="2">
        <v>-5.0040063292777299</v>
      </c>
      <c r="BW40" s="2">
        <v>-5.3411111111111076</v>
      </c>
      <c r="BX40" s="2">
        <v>-4.2183292843787292</v>
      </c>
      <c r="BY40" s="2">
        <v>-4.4858478206161836</v>
      </c>
      <c r="BZ40" s="2">
        <v>-3.2475807934379288</v>
      </c>
      <c r="CA40" s="2"/>
      <c r="CB40" s="2">
        <f t="shared" si="0"/>
        <v>3.438780878423688</v>
      </c>
    </row>
    <row r="41" spans="1:80" x14ac:dyDescent="0.45">
      <c r="A41" t="s">
        <v>163</v>
      </c>
      <c r="B41">
        <v>179910</v>
      </c>
      <c r="C41">
        <v>664090</v>
      </c>
      <c r="D41" s="2">
        <v>0.7</v>
      </c>
      <c r="E41" s="2">
        <v>1.238113952262311</v>
      </c>
      <c r="F41" s="2">
        <v>0.88349019606330037</v>
      </c>
      <c r="G41" s="2">
        <v>0.76597299486157011</v>
      </c>
      <c r="H41" s="2">
        <v>0.30891207710915519</v>
      </c>
      <c r="I41" s="2">
        <v>-0.42869127669522922</v>
      </c>
      <c r="J41" s="2">
        <v>-0.40399999999999969</v>
      </c>
      <c r="K41" s="2">
        <v>0.2327272727272735</v>
      </c>
      <c r="L41" s="2">
        <v>9.5618394406700002E-2</v>
      </c>
      <c r="M41" s="2">
        <v>-0.12249299254790171</v>
      </c>
      <c r="N41" s="2">
        <v>-1.723547470382417E-2</v>
      </c>
      <c r="O41" s="2">
        <v>0.96636363636363709</v>
      </c>
      <c r="P41" s="2">
        <v>-0.8781818181818184</v>
      </c>
      <c r="Q41" s="2">
        <v>-1.026363636363637</v>
      </c>
      <c r="R41" s="2">
        <v>-0.66271908496957777</v>
      </c>
      <c r="S41" s="2">
        <v>-0.34137393577736541</v>
      </c>
      <c r="T41" s="2">
        <v>-0.41657051176115922</v>
      </c>
      <c r="U41" s="2">
        <v>-0.58088752699178614</v>
      </c>
      <c r="V41" s="2">
        <v>-0.623423726833638</v>
      </c>
      <c r="W41" s="2">
        <v>-0.89018976563097918</v>
      </c>
      <c r="X41" s="2">
        <v>-1.094380336156533</v>
      </c>
      <c r="Y41" s="2">
        <v>-1.1271089681859889</v>
      </c>
      <c r="Z41" s="2">
        <v>-1.268817201699336</v>
      </c>
      <c r="AA41" s="2">
        <v>-1.1763729420111431</v>
      </c>
      <c r="AB41" s="2">
        <v>-0.63109090909090848</v>
      </c>
      <c r="AC41" s="2">
        <v>9.0259528793882368E-2</v>
      </c>
      <c r="AD41" s="2">
        <v>0.31284173972501089</v>
      </c>
      <c r="AE41" s="2">
        <v>0.62340596980175711</v>
      </c>
      <c r="AF41" s="2">
        <v>0.47008775374310691</v>
      </c>
      <c r="AG41" s="2">
        <v>0.71377824666251855</v>
      </c>
      <c r="AH41" s="2">
        <v>1.180030398617953</v>
      </c>
      <c r="AI41" s="2">
        <v>1.114215686274509</v>
      </c>
      <c r="AJ41" s="2">
        <v>1.590098039215686</v>
      </c>
      <c r="AK41" s="2">
        <v>1.36905635923786</v>
      </c>
      <c r="AL41" s="2">
        <v>0.6291990540469018</v>
      </c>
      <c r="AM41" s="2">
        <v>0.71897435897435891</v>
      </c>
      <c r="AN41" s="2">
        <v>0.49310509640176697</v>
      </c>
      <c r="AO41" s="2">
        <v>0.18621815669552291</v>
      </c>
      <c r="AP41" s="2">
        <v>0.51219391737380604</v>
      </c>
      <c r="AQ41" s="2">
        <v>0.48367849835711962</v>
      </c>
      <c r="AR41" s="2">
        <v>0.62476018163939506</v>
      </c>
      <c r="AS41" s="2">
        <v>0.39273529061810108</v>
      </c>
      <c r="AT41" s="2">
        <v>0.66976035840348125</v>
      </c>
      <c r="AU41" s="2">
        <v>0.63740239119586251</v>
      </c>
      <c r="AV41" s="2">
        <v>1.0532470767096509</v>
      </c>
      <c r="AW41" s="2">
        <v>0.84567000331855025</v>
      </c>
      <c r="AX41" s="2">
        <v>1.051207102419917</v>
      </c>
      <c r="AY41" s="2">
        <v>1.521796404823039</v>
      </c>
      <c r="AZ41" s="2">
        <v>1.639513506998113</v>
      </c>
      <c r="BA41" s="2">
        <v>1.8097050075291059</v>
      </c>
      <c r="BB41" s="2">
        <v>2.1967687468921588</v>
      </c>
      <c r="BC41" s="2">
        <v>2.2483750717534101</v>
      </c>
      <c r="BD41" s="2">
        <v>2.5371356893290149</v>
      </c>
      <c r="BE41" s="2">
        <v>2.2411631698472889</v>
      </c>
      <c r="BF41" s="2">
        <v>2.613341368018625</v>
      </c>
      <c r="BG41" s="2">
        <v>2.791345551461176</v>
      </c>
      <c r="BH41" s="2">
        <v>3.1331798027317288</v>
      </c>
      <c r="BI41" s="2">
        <v>3.6584008887399548</v>
      </c>
      <c r="BJ41" s="2">
        <v>3.4775332793454621</v>
      </c>
      <c r="BK41" s="2">
        <v>2.705782240973666</v>
      </c>
      <c r="BL41" s="2">
        <v>2.3475958606096459</v>
      </c>
      <c r="BM41" s="2">
        <v>1.1495745432801741</v>
      </c>
      <c r="BN41" s="2">
        <v>0.10230275453293231</v>
      </c>
      <c r="BO41" s="2">
        <v>0.45533476141791818</v>
      </c>
      <c r="BP41" s="2">
        <v>-0.34764861763698351</v>
      </c>
      <c r="BQ41" s="2">
        <v>-1.046625749825904</v>
      </c>
      <c r="BR41" s="2">
        <v>-2.3663755511607709</v>
      </c>
      <c r="BS41" s="2">
        <v>-5.9122306414969543</v>
      </c>
      <c r="BT41" s="2">
        <v>-5.7533201035433006</v>
      </c>
      <c r="BU41" s="2">
        <v>-6.0890909090909098</v>
      </c>
      <c r="BV41" s="2">
        <v>-6.2405283648404852</v>
      </c>
      <c r="BW41" s="2">
        <v>-5.437777777777776</v>
      </c>
      <c r="BX41" s="2">
        <v>-5.0703017970075228</v>
      </c>
      <c r="BY41" s="2">
        <v>-4.1210802812648986</v>
      </c>
      <c r="BZ41" s="2">
        <v>-3.096889616644078</v>
      </c>
      <c r="CA41" s="2">
        <v>1.4234303946852771</v>
      </c>
      <c r="CB41" s="2">
        <f t="shared" si="0"/>
        <v>3.6584008887399548</v>
      </c>
    </row>
    <row r="42" spans="1:80" x14ac:dyDescent="0.45">
      <c r="A42" t="s">
        <v>164</v>
      </c>
      <c r="B42">
        <v>182060</v>
      </c>
      <c r="C42">
        <v>664730</v>
      </c>
      <c r="D42" s="2">
        <v>1.1000000000000001</v>
      </c>
      <c r="E42" s="2">
        <f>AVERAGE(F42,D42)</f>
        <v>0.7777268885916877</v>
      </c>
      <c r="F42" s="2">
        <v>0.45545377718337537</v>
      </c>
      <c r="G42" s="2">
        <v>0.11350299246341811</v>
      </c>
      <c r="H42" s="2">
        <v>-0.31742137300310508</v>
      </c>
      <c r="I42" s="2">
        <v>-0.61201481484114884</v>
      </c>
      <c r="J42" s="2">
        <v>-1.315457882355386</v>
      </c>
      <c r="K42" s="2">
        <v>-0.623940011567514</v>
      </c>
      <c r="L42" s="2">
        <v>0.36813161112223669</v>
      </c>
      <c r="M42" s="2">
        <v>-0.11639298246213139</v>
      </c>
      <c r="N42" s="2">
        <v>-1.48806643251244</v>
      </c>
      <c r="O42" s="2">
        <v>-0.90865142511129371</v>
      </c>
      <c r="P42" s="2">
        <v>-1.2137025288184871</v>
      </c>
      <c r="Q42" s="2">
        <v>-1.4771659062902469</v>
      </c>
      <c r="R42" s="2">
        <v>-0.99716587092418507</v>
      </c>
      <c r="S42" s="2">
        <v>-1.1154547723825721</v>
      </c>
      <c r="T42" s="2">
        <v>-1.246391224239684</v>
      </c>
      <c r="U42" s="2">
        <v>-1.2898007286560931</v>
      </c>
      <c r="V42" s="2">
        <v>-1.2351677262892951</v>
      </c>
      <c r="W42" s="2">
        <v>-1.4068709675322839</v>
      </c>
      <c r="X42" s="2">
        <v>-1.437798372498206</v>
      </c>
      <c r="Y42" s="2">
        <v>-1.3936437441572029</v>
      </c>
      <c r="Z42" s="2">
        <v>-1.71155245673755</v>
      </c>
      <c r="AA42" s="2">
        <v>-1.781918861773361</v>
      </c>
      <c r="AB42" s="2">
        <v>-1.13787794800366</v>
      </c>
      <c r="AC42" s="2">
        <v>-0.77101601611400861</v>
      </c>
      <c r="AD42" s="2">
        <v>-0.59263026154580911</v>
      </c>
      <c r="AE42" s="2">
        <v>-9.1387199505414546E-2</v>
      </c>
      <c r="AF42" s="2">
        <v>0.39961827269306632</v>
      </c>
      <c r="AG42" s="2">
        <v>0.67906250000000057</v>
      </c>
      <c r="AH42" s="2">
        <v>0.38011714052126522</v>
      </c>
      <c r="AI42" s="2">
        <v>0.3443741033555156</v>
      </c>
      <c r="AJ42" s="2">
        <v>0.72552859441636774</v>
      </c>
      <c r="AK42" s="2">
        <v>0.4597289512540586</v>
      </c>
      <c r="AL42" s="2">
        <v>-0.31068905497554661</v>
      </c>
      <c r="AM42" s="2">
        <v>-0.53179315202676869</v>
      </c>
      <c r="AN42" s="2">
        <v>-0.7258530497822191</v>
      </c>
      <c r="AO42" s="2">
        <v>-0.98305085290524152</v>
      </c>
      <c r="AP42" s="2">
        <v>-1.0436890993176291</v>
      </c>
      <c r="AQ42" s="2">
        <v>-1.421151434789456</v>
      </c>
      <c r="AR42" s="2">
        <v>-1.4508654096616429</v>
      </c>
      <c r="AS42" s="2">
        <v>-1.218327955200716</v>
      </c>
      <c r="AT42" s="2">
        <v>-1.2232837876548559</v>
      </c>
      <c r="AU42" s="2">
        <v>-1.1213434488345331</v>
      </c>
      <c r="AV42" s="2">
        <v>-1.112181767545402</v>
      </c>
      <c r="AW42" s="2">
        <v>-1.2521364510844319</v>
      </c>
      <c r="AX42" s="2">
        <v>-0.79024353690090765</v>
      </c>
      <c r="AY42" s="2">
        <v>-0.26466382644197572</v>
      </c>
      <c r="AZ42" s="2">
        <v>3.7267452902980308E-2</v>
      </c>
      <c r="BA42" s="2">
        <v>0.2019574595927062</v>
      </c>
      <c r="BB42" s="2">
        <v>0.50423038592491565</v>
      </c>
      <c r="BC42" s="2">
        <v>0.16006765174853341</v>
      </c>
      <c r="BD42" s="2">
        <v>1.0182565139193349</v>
      </c>
      <c r="BE42" s="2">
        <v>1.0165979951474</v>
      </c>
      <c r="BF42" s="2">
        <v>1.1511294583655911</v>
      </c>
      <c r="BG42" s="2">
        <v>0.88666854605784318</v>
      </c>
      <c r="BH42" s="2">
        <v>0.86784787469381475</v>
      </c>
      <c r="BI42" s="2">
        <v>3.0278125</v>
      </c>
      <c r="BJ42" s="2">
        <v>2.216637082272078</v>
      </c>
      <c r="BK42" s="2">
        <v>1.883855868524563</v>
      </c>
      <c r="BL42" s="2">
        <v>-0.90512012762263394</v>
      </c>
      <c r="BM42" s="2">
        <v>-2.2755160440076301</v>
      </c>
      <c r="BN42" s="2">
        <v>-1.552000340128864</v>
      </c>
      <c r="BO42" s="2">
        <v>-2.024707711759119</v>
      </c>
      <c r="BP42" s="2">
        <v>-1.9547396532884549</v>
      </c>
      <c r="BQ42" s="2">
        <v>-2.427166437811326</v>
      </c>
      <c r="BR42" s="2">
        <v>-3.0608062257758779</v>
      </c>
      <c r="BS42" s="2">
        <v>-4.4489817187029193</v>
      </c>
      <c r="BT42" s="2">
        <v>-3.3321324909535339</v>
      </c>
      <c r="BU42" s="2">
        <v>-2.868906417508462</v>
      </c>
      <c r="BV42" s="2">
        <v>-3.3855003413778828</v>
      </c>
      <c r="BW42" s="2">
        <v>-2.739802044812544</v>
      </c>
      <c r="BX42" s="2">
        <v>-0.78657777416846442</v>
      </c>
      <c r="BY42" s="2">
        <v>-0.2174232812097964</v>
      </c>
      <c r="BZ42" s="2">
        <v>0.18927091979202279</v>
      </c>
      <c r="CA42" s="2">
        <v>0.81343056454044449</v>
      </c>
      <c r="CB42" s="2">
        <f t="shared" si="0"/>
        <v>3.0278125</v>
      </c>
    </row>
    <row r="43" spans="1:80" x14ac:dyDescent="0.45">
      <c r="A43" t="s">
        <v>165</v>
      </c>
      <c r="B43">
        <v>182880</v>
      </c>
      <c r="C43">
        <v>664770</v>
      </c>
      <c r="D43" s="2">
        <v>1.5</v>
      </c>
      <c r="E43" s="2">
        <v>0.9777998849430285</v>
      </c>
      <c r="F43" s="2">
        <v>0.16941533344718171</v>
      </c>
      <c r="G43" s="2">
        <v>0.50044585498141436</v>
      </c>
      <c r="H43" s="2">
        <v>-0.2168097765976876</v>
      </c>
      <c r="I43" s="2">
        <v>-0.63649494555364072</v>
      </c>
      <c r="J43" s="2">
        <v>-1.1981226849229409</v>
      </c>
      <c r="K43" s="2">
        <v>1.962654571924671E-2</v>
      </c>
      <c r="L43" s="2">
        <v>-0.52745897874601111</v>
      </c>
      <c r="M43" s="2">
        <v>-0.75447434156791826</v>
      </c>
      <c r="N43" s="2">
        <v>-0.68272789561122471</v>
      </c>
      <c r="O43" s="2">
        <v>-1.0189660870854831</v>
      </c>
      <c r="P43" s="2">
        <v>-1.208901873416915</v>
      </c>
      <c r="Q43" s="2">
        <v>-1.2801642355771179</v>
      </c>
      <c r="R43" s="2">
        <v>-0.97914114685723141</v>
      </c>
      <c r="S43" s="2">
        <v>-0.98175012353976909</v>
      </c>
      <c r="T43" s="2">
        <v>-1.1443839075203111</v>
      </c>
      <c r="U43" s="2">
        <v>-1.2521102491870471</v>
      </c>
      <c r="V43" s="2">
        <v>-1.466678371151857</v>
      </c>
      <c r="W43" s="2">
        <v>-1.551847335735866</v>
      </c>
      <c r="X43" s="2">
        <v>-1.7457980671897051</v>
      </c>
      <c r="Y43" s="2">
        <v>-1.75208230176857</v>
      </c>
      <c r="Z43" s="2">
        <v>-1.9173258203225749</v>
      </c>
      <c r="AA43" s="2">
        <v>-1.880848612838997</v>
      </c>
      <c r="AB43" s="2">
        <v>-1.2780403484602161</v>
      </c>
      <c r="AC43" s="2">
        <v>-0.951734448790721</v>
      </c>
      <c r="AD43" s="2">
        <v>-0.64879222145062587</v>
      </c>
      <c r="AE43" s="2">
        <v>-0.1154860516012115</v>
      </c>
      <c r="AF43" s="2">
        <v>0.25359449407193779</v>
      </c>
      <c r="AG43" s="2">
        <v>0.77660733680968153</v>
      </c>
      <c r="AH43" s="2">
        <v>0.1068127206993023</v>
      </c>
      <c r="AI43" s="2">
        <v>0.26144916047049288</v>
      </c>
      <c r="AJ43" s="2">
        <v>0.56988729169462382</v>
      </c>
      <c r="AK43" s="2">
        <v>0.35273739703414142</v>
      </c>
      <c r="AL43" s="2">
        <v>-0.42089859222442177</v>
      </c>
      <c r="AM43" s="2">
        <v>-1.02608181626392</v>
      </c>
      <c r="AN43" s="2">
        <v>-0.85599385661918426</v>
      </c>
      <c r="AO43" s="2">
        <v>-1.074001295734496</v>
      </c>
      <c r="AP43" s="2">
        <v>-1.5335906945952931</v>
      </c>
      <c r="AQ43" s="2">
        <v>-1.840814741459913</v>
      </c>
      <c r="AR43" s="2">
        <v>-1.526061140502432</v>
      </c>
      <c r="AS43" s="2">
        <v>-1.3996743635960629</v>
      </c>
      <c r="AT43" s="2">
        <v>-0.97726480928572212</v>
      </c>
      <c r="AU43" s="2">
        <v>-1.3195853709428229</v>
      </c>
      <c r="AV43" s="2">
        <v>-1.189637304531314</v>
      </c>
      <c r="AW43" s="2">
        <v>-1.1686916730482859</v>
      </c>
      <c r="AX43" s="2">
        <v>-0.7097724730736491</v>
      </c>
      <c r="AY43" s="2">
        <v>-0.32068471660270942</v>
      </c>
      <c r="AZ43" s="2">
        <v>0.3194060760315931</v>
      </c>
      <c r="BA43" s="2">
        <v>-0.5154649334532112</v>
      </c>
      <c r="BB43" s="2">
        <v>-1.7822831521465721</v>
      </c>
      <c r="BC43" s="2">
        <v>-1.835126810807407</v>
      </c>
      <c r="BD43" s="2">
        <v>-1.1791989515670831</v>
      </c>
      <c r="BE43" s="2">
        <v>-0.96519505204106371</v>
      </c>
      <c r="BF43" s="2">
        <v>-0.1684215356624017</v>
      </c>
      <c r="BG43" s="2">
        <v>4.3083744162136757</v>
      </c>
      <c r="BH43" s="2">
        <v>3.7539045641044568</v>
      </c>
      <c r="BI43" s="2">
        <v>3.0461538461538451</v>
      </c>
      <c r="BJ43" s="2">
        <v>0.86137385155562163</v>
      </c>
      <c r="BK43" s="2">
        <v>0.95076886267908589</v>
      </c>
      <c r="BL43" s="2">
        <v>-2.1754743993182828</v>
      </c>
      <c r="BM43" s="2">
        <v>-3.1370923065457479</v>
      </c>
      <c r="BN43" s="2">
        <v>-3.027424768337454</v>
      </c>
      <c r="BO43" s="2">
        <v>-2.4991651047599408</v>
      </c>
      <c r="BP43" s="2">
        <v>-2.3444444444444441</v>
      </c>
      <c r="BQ43" s="2">
        <v>-3.592754411728543</v>
      </c>
      <c r="BR43" s="2">
        <v>-5.5567890565053863</v>
      </c>
      <c r="BS43" s="2">
        <v>-4.8805424117126428</v>
      </c>
      <c r="BT43" s="2">
        <v>-3.890447717658843</v>
      </c>
      <c r="BU43" s="2">
        <v>-3.2586806205682288</v>
      </c>
      <c r="BV43" s="2">
        <v>-0.36830942318348842</v>
      </c>
      <c r="BW43" s="2">
        <v>-0.35893313937023519</v>
      </c>
      <c r="BX43" s="2">
        <v>0.77957430258467053</v>
      </c>
      <c r="BY43" s="2">
        <v>0.27048626345912008</v>
      </c>
      <c r="BZ43" s="2">
        <v>1.860440645513441</v>
      </c>
      <c r="CA43" s="2">
        <v>2.2134755572208942</v>
      </c>
      <c r="CB43" s="2">
        <f t="shared" si="0"/>
        <v>4.3083744162136757</v>
      </c>
    </row>
    <row r="44" spans="1:80" x14ac:dyDescent="0.45">
      <c r="A44" t="s">
        <v>166</v>
      </c>
      <c r="B44">
        <v>183745</v>
      </c>
      <c r="C44">
        <v>664640</v>
      </c>
      <c r="D44" s="2">
        <v>1.9</v>
      </c>
      <c r="E44" s="2">
        <v>2.0454159614013951</v>
      </c>
      <c r="F44" s="2">
        <v>0.89297815037015671</v>
      </c>
      <c r="G44" s="2">
        <v>1.82636180652924</v>
      </c>
      <c r="H44" s="2">
        <v>0.95615135157789133</v>
      </c>
      <c r="I44" s="2">
        <v>0.44094581095046431</v>
      </c>
      <c r="J44" s="2">
        <v>-0.42979006383330248</v>
      </c>
      <c r="K44" s="2">
        <v>0.36048804678967272</v>
      </c>
      <c r="L44" s="2">
        <v>0.17098845484870029</v>
      </c>
      <c r="M44" s="2">
        <v>-0.19430216498400449</v>
      </c>
      <c r="N44" s="2">
        <v>0.14009405510251791</v>
      </c>
      <c r="O44" s="2">
        <v>-0.3842537380996574</v>
      </c>
      <c r="P44" s="2">
        <v>-0.43267837352820709</v>
      </c>
      <c r="Q44" s="2">
        <v>-0.29842241958238452</v>
      </c>
      <c r="R44" s="2">
        <v>-0.31499523198240759</v>
      </c>
      <c r="S44" s="2">
        <v>-0.2473426805010486</v>
      </c>
      <c r="T44" s="2">
        <v>-0.27261487364201131</v>
      </c>
      <c r="U44" s="2">
        <v>-0.56683315685726055</v>
      </c>
      <c r="V44" s="2">
        <v>-1.37069821298482</v>
      </c>
      <c r="W44" s="2">
        <v>-1.177075607117632</v>
      </c>
      <c r="X44" s="2">
        <v>-1.5155152896495341</v>
      </c>
      <c r="Y44" s="2">
        <v>-1.445995786065694</v>
      </c>
      <c r="Z44" s="2">
        <v>-1.707090466966966</v>
      </c>
      <c r="AA44" s="2">
        <v>-1.47280461271402</v>
      </c>
      <c r="AB44" s="2">
        <v>-1.21102655138007</v>
      </c>
      <c r="AC44" s="2">
        <v>-0.5032468689961721</v>
      </c>
      <c r="AD44" s="2">
        <v>-8.9420216464038804E-2</v>
      </c>
      <c r="AE44" s="2">
        <v>0.53691801681581575</v>
      </c>
      <c r="AF44" s="2">
        <v>0.84971246630939568</v>
      </c>
      <c r="AG44" s="2">
        <v>1.1248510040899999</v>
      </c>
      <c r="AH44" s="2">
        <v>0.59693500071486283</v>
      </c>
      <c r="AI44" s="2">
        <v>1.054612707487057</v>
      </c>
      <c r="AJ44" s="2">
        <v>1.1785419415351901</v>
      </c>
      <c r="AK44" s="2">
        <v>0.61218772002177801</v>
      </c>
      <c r="AL44" s="2">
        <v>-0.42210179762906008</v>
      </c>
      <c r="AM44" s="2">
        <v>-0.76944295324303691</v>
      </c>
      <c r="AN44" s="2">
        <v>-0.76594892291207151</v>
      </c>
      <c r="AO44" s="2">
        <v>-0.69018967328012826</v>
      </c>
      <c r="AP44" s="2">
        <v>-0.92816966226132946</v>
      </c>
      <c r="AQ44" s="2">
        <v>-1.3963455843407679</v>
      </c>
      <c r="AR44" s="2">
        <v>-0.91829896854627002</v>
      </c>
      <c r="AS44" s="2">
        <v>-0.92528596992642886</v>
      </c>
      <c r="AT44" s="2">
        <v>-0.96255008472833725</v>
      </c>
      <c r="AU44" s="2">
        <v>-0.60811062527226611</v>
      </c>
      <c r="AV44" s="2">
        <v>-0.75118341801052435</v>
      </c>
      <c r="AW44" s="2">
        <v>-0.93195484334396939</v>
      </c>
      <c r="AX44" s="2">
        <v>-0.48387132596220522</v>
      </c>
      <c r="AY44" s="2">
        <v>-0.16494290790249119</v>
      </c>
      <c r="AZ44" s="2">
        <v>0.61360940052334301</v>
      </c>
      <c r="BA44" s="2">
        <v>0.69629390963517512</v>
      </c>
      <c r="BB44" s="2">
        <v>1.2484583787666841</v>
      </c>
      <c r="BC44" s="2">
        <v>0.65433487745915331</v>
      </c>
      <c r="BD44" s="2">
        <v>0.15675164543590431</v>
      </c>
      <c r="BE44" s="2">
        <v>0.53154538930431605</v>
      </c>
      <c r="BF44" s="2">
        <v>0.92966836402777608</v>
      </c>
      <c r="BG44" s="2">
        <v>4.8517211198069656</v>
      </c>
      <c r="BH44" s="2">
        <v>4.7780480215010774</v>
      </c>
      <c r="BI44" s="2">
        <v>4.2407091787538196</v>
      </c>
      <c r="BJ44" s="2">
        <v>4.7844060461179048</v>
      </c>
      <c r="BK44" s="2">
        <v>2.2529174889653119</v>
      </c>
      <c r="BL44" s="2">
        <v>-1.1303983728278479</v>
      </c>
      <c r="BM44" s="2">
        <v>-1.909270829631398</v>
      </c>
      <c r="BN44" s="2">
        <v>-1.866830977319434</v>
      </c>
      <c r="BO44" s="2">
        <v>-1.6866788667697661</v>
      </c>
      <c r="BP44" s="2">
        <v>-1.6759085973386361</v>
      </c>
      <c r="BQ44" s="2">
        <v>-2.3850967506597791</v>
      </c>
      <c r="BR44" s="2">
        <v>-2.0226908266098418</v>
      </c>
      <c r="BS44" s="2">
        <v>-1.576565400936482</v>
      </c>
      <c r="BT44" s="2">
        <v>-0.78227324287219646</v>
      </c>
      <c r="BU44" s="2">
        <v>0.20679149196644539</v>
      </c>
      <c r="BV44" s="2">
        <v>2.5693933123611359</v>
      </c>
      <c r="BW44" s="2">
        <v>2.8465248783926151</v>
      </c>
      <c r="BX44" s="2">
        <v>2.72532975726797</v>
      </c>
      <c r="BY44" s="2">
        <v>0.95238037308168677</v>
      </c>
      <c r="BZ44" s="2">
        <v>3.6658496512879042</v>
      </c>
      <c r="CA44" s="2">
        <v>3.4676531887841442</v>
      </c>
      <c r="CB44" s="2">
        <f t="shared" si="0"/>
        <v>4.8517211198069656</v>
      </c>
    </row>
    <row r="45" spans="1:80" x14ac:dyDescent="0.45">
      <c r="A45" t="s">
        <v>167</v>
      </c>
      <c r="B45">
        <v>184485</v>
      </c>
      <c r="C45">
        <v>664790</v>
      </c>
      <c r="D45" s="2">
        <v>2.6</v>
      </c>
      <c r="E45" s="2">
        <v>2.8686351028125419</v>
      </c>
      <c r="F45" s="2">
        <v>2.079260209359632</v>
      </c>
      <c r="G45" s="2">
        <v>2.4711579210950352</v>
      </c>
      <c r="H45" s="2">
        <v>2.257151452056104</v>
      </c>
      <c r="I45" s="2">
        <v>1.725173227272836</v>
      </c>
      <c r="J45" s="2">
        <v>0.90054665348042184</v>
      </c>
      <c r="K45" s="2">
        <v>1.235946641440602</v>
      </c>
      <c r="L45" s="2">
        <v>1.104951950658601</v>
      </c>
      <c r="M45" s="2">
        <v>1.175621400265217</v>
      </c>
      <c r="N45" s="2">
        <v>1.198620256793431</v>
      </c>
      <c r="O45" s="2">
        <v>0.71547995779179341</v>
      </c>
      <c r="P45" s="2">
        <v>0.65680199483049995</v>
      </c>
      <c r="Q45" s="2">
        <v>0.70335335008273603</v>
      </c>
      <c r="R45" s="2">
        <v>0.98172680133112566</v>
      </c>
      <c r="S45" s="2">
        <v>0.84296572786898216</v>
      </c>
      <c r="T45" s="2">
        <v>1.017645769944741</v>
      </c>
      <c r="U45" s="2">
        <v>0.48149760480514819</v>
      </c>
      <c r="V45" s="2">
        <v>-0.47773120394546592</v>
      </c>
      <c r="W45" s="2">
        <v>-0.34706048858818689</v>
      </c>
      <c r="X45" s="2">
        <v>-0.29534140298857892</v>
      </c>
      <c r="Y45" s="2">
        <v>-0.43396704397007579</v>
      </c>
      <c r="Z45" s="2">
        <v>-0.85366482849314007</v>
      </c>
      <c r="AA45" s="2">
        <v>-0.75924482018929063</v>
      </c>
      <c r="AB45" s="2">
        <v>-0.56903991403043153</v>
      </c>
      <c r="AC45" s="2">
        <v>0.58919134252568384</v>
      </c>
      <c r="AD45" s="2">
        <v>0.99020142532051025</v>
      </c>
      <c r="AE45" s="2">
        <v>1.448600367365751</v>
      </c>
      <c r="AF45" s="2">
        <v>1.525160948854005</v>
      </c>
      <c r="AG45" s="2">
        <v>1.611364059434006</v>
      </c>
      <c r="AH45" s="2">
        <v>1.179798844513511</v>
      </c>
      <c r="AI45" s="2">
        <v>1.9406676297825749</v>
      </c>
      <c r="AJ45" s="2">
        <v>2.2310877921478292</v>
      </c>
      <c r="AK45" s="2">
        <v>1.314876381055325</v>
      </c>
      <c r="AL45" s="2">
        <v>-0.10491727225740061</v>
      </c>
      <c r="AM45" s="2">
        <v>-0.34217154230644542</v>
      </c>
      <c r="AN45" s="2">
        <v>-0.2465112407716771</v>
      </c>
      <c r="AO45" s="2">
        <v>-0.2426349902544315</v>
      </c>
      <c r="AP45" s="2">
        <v>-0.22866837397093301</v>
      </c>
      <c r="AQ45" s="2">
        <v>-0.77138339887445495</v>
      </c>
      <c r="AR45" s="2">
        <v>-0.50258071087474876</v>
      </c>
      <c r="AS45" s="2">
        <v>-0.47229415133003422</v>
      </c>
      <c r="AT45" s="2">
        <v>-0.60973822505100339</v>
      </c>
      <c r="AU45" s="2">
        <v>-0.29420389058369051</v>
      </c>
      <c r="AV45" s="2">
        <v>-0.41810639860630078</v>
      </c>
      <c r="AW45" s="2">
        <v>-0.45961755897183398</v>
      </c>
      <c r="AX45" s="2">
        <v>-3.7412952232903272E-2</v>
      </c>
      <c r="AY45" s="2">
        <v>0.38718822852710699</v>
      </c>
      <c r="AZ45" s="2">
        <v>0.71825045596086057</v>
      </c>
      <c r="BA45" s="2">
        <v>0.76811784463567123</v>
      </c>
      <c r="BB45" s="2">
        <v>1.222197809959799</v>
      </c>
      <c r="BC45" s="2">
        <v>0.8085019249567188</v>
      </c>
      <c r="BD45" s="2">
        <v>2.140069409629537</v>
      </c>
      <c r="BE45" s="2">
        <v>2.444901363207876</v>
      </c>
      <c r="BF45" s="2">
        <v>2.624164445273288</v>
      </c>
      <c r="BG45" s="2">
        <v>4.5100121278061653</v>
      </c>
      <c r="BH45" s="2">
        <v>1.8522614368699259</v>
      </c>
      <c r="BI45" s="2">
        <v>4.0400369136848617</v>
      </c>
      <c r="BJ45" s="2">
        <v>4.3585059954051033</v>
      </c>
      <c r="BK45" s="2">
        <v>0.70390701758133856</v>
      </c>
      <c r="BL45" s="2">
        <v>-1.4432425213770139</v>
      </c>
      <c r="BM45" s="2">
        <v>-2.0959695694377798</v>
      </c>
      <c r="BN45" s="2">
        <v>-1.8233066450266679</v>
      </c>
      <c r="BO45" s="2">
        <v>-1.547675360234561</v>
      </c>
      <c r="BP45" s="2">
        <v>-1.3952750065058801</v>
      </c>
      <c r="BQ45" s="2">
        <v>-1.0965942369460451</v>
      </c>
      <c r="BR45" s="2">
        <v>-0.92778999799166062</v>
      </c>
      <c r="BS45" s="2">
        <v>-0.13036389809672261</v>
      </c>
      <c r="BT45" s="2">
        <v>0.73609346451293256</v>
      </c>
      <c r="BU45" s="2">
        <v>1.8337748343098541</v>
      </c>
      <c r="BV45" s="2">
        <v>2.4257752980022351</v>
      </c>
      <c r="BW45" s="2">
        <v>3.7085560442573882</v>
      </c>
      <c r="BX45" s="2">
        <v>4.1132388151804413</v>
      </c>
      <c r="BY45" s="2">
        <v>3.3619142945550058</v>
      </c>
      <c r="BZ45" s="2">
        <v>4.6300243487957102</v>
      </c>
      <c r="CA45" s="2">
        <v>4.4014697396758216</v>
      </c>
      <c r="CB45" s="2">
        <f t="shared" si="0"/>
        <v>4.5100121278061653</v>
      </c>
    </row>
    <row r="46" spans="1:80" x14ac:dyDescent="0.45">
      <c r="A46" t="s">
        <v>168</v>
      </c>
      <c r="B46">
        <v>184850</v>
      </c>
      <c r="C46">
        <v>664800</v>
      </c>
      <c r="D46" s="2">
        <v>3.110262684508124</v>
      </c>
      <c r="E46" s="2">
        <v>3.3516292236032852</v>
      </c>
      <c r="F46" s="2">
        <v>2.9081923220951049</v>
      </c>
      <c r="G46" s="2">
        <v>2.828923610942482</v>
      </c>
      <c r="H46" s="2">
        <v>2.8177141017718852</v>
      </c>
      <c r="I46" s="2">
        <v>2.3047122366785109</v>
      </c>
      <c r="J46" s="2">
        <v>1.80994422843562</v>
      </c>
      <c r="K46" s="2">
        <v>2.2243424864466972</v>
      </c>
      <c r="L46" s="2">
        <v>1.824973150671314</v>
      </c>
      <c r="M46" s="2">
        <v>1.907404081173822</v>
      </c>
      <c r="N46" s="2">
        <v>1.787861042086301</v>
      </c>
      <c r="O46" s="2">
        <v>1.281953337247095</v>
      </c>
      <c r="P46" s="2">
        <v>1.3517287208424891</v>
      </c>
      <c r="Q46" s="2">
        <v>1.3508420397639611</v>
      </c>
      <c r="R46" s="2">
        <v>1.5221704901460851</v>
      </c>
      <c r="S46" s="2">
        <v>1.0155799954769249</v>
      </c>
      <c r="T46" s="2">
        <v>1.1092698283871609</v>
      </c>
      <c r="U46" s="2">
        <v>1.0619190652857511</v>
      </c>
      <c r="V46" s="2">
        <v>0.30134600696295932</v>
      </c>
      <c r="W46" s="2">
        <v>0.43814509143182762</v>
      </c>
      <c r="X46" s="2">
        <v>0.60063471465394558</v>
      </c>
      <c r="Y46" s="2">
        <v>0.30594769077885531</v>
      </c>
      <c r="Z46" s="2">
        <v>-0.2855104385449273</v>
      </c>
      <c r="AA46" s="2">
        <v>-0.22655181581046741</v>
      </c>
      <c r="AB46" s="2">
        <v>0.31779136379826428</v>
      </c>
      <c r="AC46" s="2">
        <v>1.376239379308744</v>
      </c>
      <c r="AD46" s="2">
        <v>1.619272310792748</v>
      </c>
      <c r="AE46" s="2">
        <v>1.8865993109811661</v>
      </c>
      <c r="AF46" s="2">
        <v>1.9361348560354319</v>
      </c>
      <c r="AG46" s="2">
        <v>2.1094158436420001</v>
      </c>
      <c r="AH46" s="2">
        <v>1.7212486214021701</v>
      </c>
      <c r="AI46" s="2">
        <v>2.579696979834496</v>
      </c>
      <c r="AJ46" s="2">
        <v>2.8414748250628961</v>
      </c>
      <c r="AK46" s="2">
        <v>1.9453273049318061</v>
      </c>
      <c r="AL46" s="2">
        <v>0.23185477348993019</v>
      </c>
      <c r="AM46" s="2">
        <v>4.190824087295969E-2</v>
      </c>
      <c r="AN46" s="2">
        <v>9.774475229313731E-2</v>
      </c>
      <c r="AO46" s="2">
        <v>0.12140365652697239</v>
      </c>
      <c r="AP46" s="2">
        <v>0.25295232983876748</v>
      </c>
      <c r="AQ46" s="2">
        <v>-0.2171372866517543</v>
      </c>
      <c r="AR46" s="2">
        <v>-0.1033254634527532</v>
      </c>
      <c r="AS46" s="2">
        <v>-1.300776786601859E-2</v>
      </c>
      <c r="AT46" s="2">
        <v>-4.445796371715563E-2</v>
      </c>
      <c r="AU46" s="2">
        <v>-6.3943258996515165E-2</v>
      </c>
      <c r="AV46" s="2">
        <v>-2.819024161301704E-3</v>
      </c>
      <c r="AW46" s="2">
        <v>-2.2391171573365801E-2</v>
      </c>
      <c r="AX46" s="2">
        <v>0.32154793273982879</v>
      </c>
      <c r="AY46" s="2">
        <v>0.93410226348807579</v>
      </c>
      <c r="AZ46" s="2">
        <v>1.076231360726255</v>
      </c>
      <c r="BA46" s="2">
        <v>1.0797968231350501</v>
      </c>
      <c r="BB46" s="2">
        <v>1.2060453129695541</v>
      </c>
      <c r="BC46" s="2">
        <v>1.015413430193399</v>
      </c>
      <c r="BD46" s="2">
        <v>2.1013546165584418</v>
      </c>
      <c r="BE46" s="2">
        <v>2.324085027823708</v>
      </c>
      <c r="BF46" s="2">
        <v>2.4302821397764558</v>
      </c>
      <c r="BG46" s="2">
        <v>3.309245506748844</v>
      </c>
      <c r="BH46" s="2">
        <v>2.4492121631737391</v>
      </c>
      <c r="BI46" s="2">
        <v>3.9659999580134859</v>
      </c>
      <c r="BJ46" s="2">
        <v>1.461267226126765</v>
      </c>
      <c r="BK46" s="2">
        <v>1.028034664871865</v>
      </c>
      <c r="BL46" s="2">
        <v>-1.294346175150028</v>
      </c>
      <c r="BM46" s="2">
        <v>-1.6289200262417469</v>
      </c>
      <c r="BN46" s="2">
        <v>-1.261881044087187</v>
      </c>
      <c r="BO46" s="2">
        <v>-1.055946834020804</v>
      </c>
      <c r="BP46" s="2">
        <v>-0.86716147985217418</v>
      </c>
      <c r="BQ46" s="2">
        <v>-0.49672258269778979</v>
      </c>
      <c r="BR46" s="2">
        <v>-7.392385983694455E-2</v>
      </c>
      <c r="BS46" s="2">
        <v>0.36416653229177087</v>
      </c>
      <c r="BT46" s="2">
        <v>1.3713795567924141</v>
      </c>
      <c r="BU46" s="2">
        <v>2.2093370691972982</v>
      </c>
      <c r="BV46" s="2">
        <v>2.78885337322642</v>
      </c>
      <c r="BW46" s="2">
        <v>5.3876818919648102</v>
      </c>
      <c r="BX46" s="2">
        <v>4.8472328866292873</v>
      </c>
      <c r="BY46" s="2">
        <v>4.3308121424769004</v>
      </c>
      <c r="BZ46" s="2">
        <v>5.4529884817780134</v>
      </c>
      <c r="CA46" s="2">
        <v>4.9358564332980341</v>
      </c>
      <c r="CB46" s="2">
        <f t="shared" si="0"/>
        <v>3.9659999580134859</v>
      </c>
    </row>
    <row r="47" spans="1:80" x14ac:dyDescent="0.45">
      <c r="A47" t="s">
        <v>169</v>
      </c>
      <c r="B47">
        <v>185320</v>
      </c>
      <c r="C47">
        <v>664775</v>
      </c>
      <c r="D47" s="2">
        <v>4.9000000000000004</v>
      </c>
      <c r="E47" s="2">
        <v>4.0454518067094316</v>
      </c>
      <c r="F47" s="2">
        <v>3.5503052101690851</v>
      </c>
      <c r="G47" s="2">
        <v>4.0186452382288946</v>
      </c>
      <c r="H47" s="2">
        <v>3.2718969765237338</v>
      </c>
      <c r="I47" s="2">
        <v>3.2621384473578612</v>
      </c>
      <c r="J47" s="2">
        <v>3.13553846382574</v>
      </c>
      <c r="K47" s="2">
        <v>3.228183823739633</v>
      </c>
      <c r="L47" s="2">
        <v>3.3441682794722412</v>
      </c>
      <c r="M47" s="2">
        <v>3.3284484440345259</v>
      </c>
      <c r="N47" s="2">
        <v>3.1772085364038962</v>
      </c>
      <c r="O47" s="2">
        <v>3.196184624784324</v>
      </c>
      <c r="P47" s="2">
        <v>2.9613392778203318</v>
      </c>
      <c r="Q47" s="2">
        <v>2.841136220725458</v>
      </c>
      <c r="R47" s="2">
        <v>3.1263922405457261</v>
      </c>
      <c r="S47" s="2">
        <v>2.457413462430496</v>
      </c>
      <c r="T47" s="2">
        <v>2.9017556705774341</v>
      </c>
      <c r="U47" s="2">
        <v>2.3291724894091241</v>
      </c>
      <c r="V47" s="2">
        <v>1.867819037406685</v>
      </c>
      <c r="W47" s="2">
        <v>2.017913188840859</v>
      </c>
      <c r="X47" s="2">
        <v>1.6749233827673931</v>
      </c>
      <c r="Y47" s="2">
        <v>1.228634150757185</v>
      </c>
      <c r="Z47" s="2">
        <v>0.49211690314966339</v>
      </c>
      <c r="AA47" s="2">
        <v>0.61710394150923165</v>
      </c>
      <c r="AB47" s="2">
        <v>1.5707249987905969</v>
      </c>
      <c r="AC47" s="2">
        <v>2.28326830341044</v>
      </c>
      <c r="AD47" s="2">
        <v>2.8722714517635111</v>
      </c>
      <c r="AE47" s="2">
        <v>2.975662054078076</v>
      </c>
      <c r="AF47" s="2">
        <v>2.9111024138495849</v>
      </c>
      <c r="AG47" s="2">
        <v>3.2774948752035731</v>
      </c>
      <c r="AH47" s="2">
        <v>2.8183799651791568</v>
      </c>
      <c r="AI47" s="2">
        <v>3.60518580651997</v>
      </c>
      <c r="AJ47" s="2">
        <v>3.676983487760396</v>
      </c>
      <c r="AK47" s="2">
        <v>2.700239588002316</v>
      </c>
      <c r="AL47" s="2">
        <v>0.92139654195949927</v>
      </c>
      <c r="AM47" s="2">
        <v>0.77607988262243521</v>
      </c>
      <c r="AN47" s="2">
        <v>0.73845182378130625</v>
      </c>
      <c r="AO47" s="2">
        <v>0.72908704104815802</v>
      </c>
      <c r="AP47" s="2">
        <v>0.86408651801985714</v>
      </c>
      <c r="AQ47" s="2">
        <v>0.65543646084582519</v>
      </c>
      <c r="AR47" s="2">
        <v>0.71046497629553418</v>
      </c>
      <c r="AS47" s="2">
        <v>0.76348213651763941</v>
      </c>
      <c r="AT47" s="2">
        <v>0.64811556213212418</v>
      </c>
      <c r="AU47" s="2">
        <v>0.24710884821123419</v>
      </c>
      <c r="AV47" s="2">
        <v>0.56403674583706775</v>
      </c>
      <c r="AW47" s="2">
        <v>0.70795481582744235</v>
      </c>
      <c r="AX47" s="2">
        <v>0.95234430821355254</v>
      </c>
      <c r="AY47" s="2">
        <v>1.5686577137136439</v>
      </c>
      <c r="AZ47" s="2">
        <v>1.481742921266237</v>
      </c>
      <c r="BA47" s="2">
        <v>1.457552663656829</v>
      </c>
      <c r="BB47" s="2">
        <v>1.707299876327518</v>
      </c>
      <c r="BC47" s="2">
        <v>1.859862126653786</v>
      </c>
      <c r="BD47" s="2">
        <v>2.1459202149188941</v>
      </c>
      <c r="BE47" s="2">
        <v>2.5449411843875489</v>
      </c>
      <c r="BF47" s="2">
        <v>2.287494095157296</v>
      </c>
      <c r="BG47" s="2">
        <v>1.6814884939504231</v>
      </c>
      <c r="BH47" s="2">
        <v>0.95454667020327888</v>
      </c>
      <c r="BI47" s="2">
        <v>1.2305956139711911</v>
      </c>
      <c r="BJ47" s="2">
        <v>-0.30381388362981798</v>
      </c>
      <c r="BK47" s="2">
        <v>-0.243418445788672</v>
      </c>
      <c r="BL47" s="2">
        <v>-1.181124175460659</v>
      </c>
      <c r="BM47" s="2">
        <v>-1.430813929197019</v>
      </c>
      <c r="BN47" s="2">
        <v>-1.1678442179968</v>
      </c>
      <c r="BO47" s="2">
        <v>-0.94196693004514642</v>
      </c>
      <c r="BP47" s="2">
        <v>-0.45436723115049082</v>
      </c>
      <c r="BQ47" s="2">
        <v>0.28807463453266152</v>
      </c>
      <c r="BR47" s="2">
        <v>0.67873158288039337</v>
      </c>
      <c r="BS47" s="2">
        <v>1.3255728307897909</v>
      </c>
      <c r="BT47" s="2">
        <v>2.8432365280545229</v>
      </c>
      <c r="BU47" s="2">
        <v>3.3502201906723261</v>
      </c>
      <c r="BV47" s="2">
        <v>3.471588497192446</v>
      </c>
      <c r="BW47" s="2">
        <v>5.3528290242775416</v>
      </c>
      <c r="BX47" s="2">
        <v>5.3652090337680578</v>
      </c>
      <c r="BY47" s="2">
        <v>5.3259559686166744</v>
      </c>
      <c r="BZ47" s="2">
        <v>5.9955544998983674</v>
      </c>
      <c r="CA47" s="2">
        <v>5.8953752131733879</v>
      </c>
      <c r="CB47" s="2">
        <f t="shared" si="0"/>
        <v>4.9000000000000004</v>
      </c>
    </row>
    <row r="48" spans="1:80" x14ac:dyDescent="0.45">
      <c r="A48" t="s">
        <v>170</v>
      </c>
      <c r="B48">
        <v>185935</v>
      </c>
      <c r="C48">
        <v>664560</v>
      </c>
      <c r="D48" s="2">
        <v>6.5</v>
      </c>
      <c r="E48" s="2">
        <v>6.2924830038149464</v>
      </c>
      <c r="F48" s="2">
        <v>6.0704327877671913</v>
      </c>
      <c r="G48" s="2">
        <v>5.5188583965982883</v>
      </c>
      <c r="H48" s="2">
        <v>5.3534454802956493</v>
      </c>
      <c r="I48" s="2">
        <v>4.7015071730789408</v>
      </c>
      <c r="J48" s="2">
        <v>4.6444574338421312</v>
      </c>
      <c r="K48" s="2">
        <v>4.9588716901055943</v>
      </c>
      <c r="L48" s="2">
        <v>5.116859612272437</v>
      </c>
      <c r="M48" s="2">
        <v>5.061522726207377</v>
      </c>
      <c r="N48" s="2">
        <v>4.8795844366331833</v>
      </c>
      <c r="O48" s="2">
        <v>4.5704989902594777</v>
      </c>
      <c r="P48" s="2">
        <v>4.3653228074454153</v>
      </c>
      <c r="Q48" s="2">
        <v>3.992553953640166</v>
      </c>
      <c r="R48" s="2">
        <v>4.8933009858507539</v>
      </c>
      <c r="S48" s="2">
        <v>4.962020339281878</v>
      </c>
      <c r="T48" s="2">
        <v>4.5791377893622904</v>
      </c>
      <c r="U48" s="2">
        <v>4.0211145681282243</v>
      </c>
      <c r="V48" s="2">
        <v>3.6442785719072099</v>
      </c>
      <c r="W48" s="2">
        <v>3.8894406859668078</v>
      </c>
      <c r="X48" s="2">
        <v>3.6989975245564701</v>
      </c>
      <c r="Y48" s="2">
        <v>3.1627432128428259</v>
      </c>
      <c r="Z48" s="2">
        <v>2.5771116941678311</v>
      </c>
      <c r="AA48" s="2">
        <v>3.012574271887253</v>
      </c>
      <c r="AB48" s="2">
        <v>4.1115325558582816</v>
      </c>
      <c r="AC48" s="2">
        <v>4.4442451688020617</v>
      </c>
      <c r="AD48" s="2">
        <v>5.35232958688455</v>
      </c>
      <c r="AE48" s="2">
        <v>5.574950031750431</v>
      </c>
      <c r="AF48" s="2">
        <v>5.7339143679672446</v>
      </c>
      <c r="AG48" s="2">
        <v>5.6041043049708392</v>
      </c>
      <c r="AH48" s="2">
        <v>5.3653598607361257</v>
      </c>
      <c r="AI48" s="2">
        <v>5.4338494140959241</v>
      </c>
      <c r="AJ48" s="2">
        <v>5.3383095186753016</v>
      </c>
      <c r="AK48" s="2">
        <v>4.3011716881481536</v>
      </c>
      <c r="AL48" s="2">
        <v>2.667795517825291</v>
      </c>
      <c r="AM48" s="2">
        <v>2.4697165240510879</v>
      </c>
      <c r="AN48" s="2">
        <v>2.35271127552689</v>
      </c>
      <c r="AO48" s="2">
        <v>2.284720618656217</v>
      </c>
      <c r="AP48" s="2">
        <v>2.2719395494167021</v>
      </c>
      <c r="AQ48" s="2">
        <v>2.122009884308234</v>
      </c>
      <c r="AR48" s="2">
        <v>2.2057077193990402</v>
      </c>
      <c r="AS48" s="2">
        <v>2.109177584589526</v>
      </c>
      <c r="AT48" s="2">
        <v>1.79508542803404</v>
      </c>
      <c r="AU48" s="2">
        <v>0.92054554553111401</v>
      </c>
      <c r="AV48" s="2">
        <v>1.6873494660625279</v>
      </c>
      <c r="AW48" s="2">
        <v>1.91409275281779</v>
      </c>
      <c r="AX48" s="2">
        <v>2.0705500832671748</v>
      </c>
      <c r="AY48" s="2">
        <v>2.4868792978040228</v>
      </c>
      <c r="AZ48" s="2">
        <v>2.492925418327232</v>
      </c>
      <c r="BA48" s="2">
        <v>2.53696482658385</v>
      </c>
      <c r="BB48" s="2">
        <v>2.9619367879241221</v>
      </c>
      <c r="BC48" s="2">
        <v>3.0911779067585918</v>
      </c>
      <c r="BD48" s="2">
        <v>3.4089450929777341</v>
      </c>
      <c r="BE48" s="2">
        <v>3.2734125978898012</v>
      </c>
      <c r="BF48" s="2">
        <v>3.2499036671685788</v>
      </c>
      <c r="BG48" s="2">
        <v>3.582781211767093</v>
      </c>
      <c r="BH48" s="2">
        <v>1.8497860499932079</v>
      </c>
      <c r="BI48" s="2">
        <v>2.026588338864872</v>
      </c>
      <c r="BJ48" s="2">
        <v>0.37676842810320688</v>
      </c>
      <c r="BK48" s="2">
        <v>1.087065048063125</v>
      </c>
      <c r="BL48" s="2">
        <v>-0.24850632666256009</v>
      </c>
      <c r="BM48" s="2">
        <v>-0.37142938730869229</v>
      </c>
      <c r="BN48" s="2">
        <v>-0.20052555734923649</v>
      </c>
      <c r="BO48" s="2">
        <v>-0.13866483331666751</v>
      </c>
      <c r="BP48" s="2">
        <v>0.77316979320496571</v>
      </c>
      <c r="BQ48" s="2">
        <v>1.635173048184827</v>
      </c>
      <c r="BR48" s="2">
        <v>1.6999246280925711</v>
      </c>
      <c r="BS48" s="2">
        <v>3.2943253303258699</v>
      </c>
      <c r="BT48" s="2">
        <v>4.4895634742392794</v>
      </c>
      <c r="BU48" s="2">
        <v>4.8229395575410896</v>
      </c>
      <c r="BV48" s="2">
        <v>8.6402973466107191</v>
      </c>
      <c r="BW48" s="2">
        <v>5.9620692930907904</v>
      </c>
      <c r="BX48" s="2">
        <v>6.4077396699479214</v>
      </c>
      <c r="BY48" s="2">
        <v>6.7750323285024026</v>
      </c>
      <c r="BZ48" s="2">
        <v>11.75718726375578</v>
      </c>
      <c r="CA48" s="2">
        <v>12.92137973749341</v>
      </c>
      <c r="CB48" s="2">
        <f t="shared" si="0"/>
        <v>6.5</v>
      </c>
    </row>
    <row r="49" spans="1:80" x14ac:dyDescent="0.45">
      <c r="A49" t="s">
        <v>171</v>
      </c>
      <c r="B49">
        <v>186860</v>
      </c>
      <c r="C49">
        <v>664515</v>
      </c>
      <c r="D49" s="2">
        <v>10</v>
      </c>
      <c r="E49" s="2">
        <v>10.030862894211509</v>
      </c>
      <c r="F49" s="2">
        <v>9.4843768206746013</v>
      </c>
      <c r="G49" s="2">
        <v>9.1777902946522421</v>
      </c>
      <c r="H49" s="2">
        <v>8.9002734476467982</v>
      </c>
      <c r="I49" s="2">
        <v>7.8223197752770606</v>
      </c>
      <c r="J49" s="2">
        <v>8.1913827381806197</v>
      </c>
      <c r="K49" s="2">
        <v>8.157248039635931</v>
      </c>
      <c r="L49" s="2">
        <v>8.3732704795948294</v>
      </c>
      <c r="M49" s="2">
        <v>8.3618842517686875</v>
      </c>
      <c r="N49" s="2">
        <v>7.9128392114454318</v>
      </c>
      <c r="O49" s="2">
        <v>7.5951376078335242</v>
      </c>
      <c r="P49" s="2">
        <v>7.5175958633619384</v>
      </c>
      <c r="Q49" s="2">
        <v>7.9113628236961713</v>
      </c>
      <c r="R49" s="2">
        <v>8.0136514085589887</v>
      </c>
      <c r="S49" s="2">
        <v>8.5181016766126145</v>
      </c>
      <c r="T49" s="2">
        <v>8.2562826324205734</v>
      </c>
      <c r="U49" s="2">
        <v>8.0859815973654374</v>
      </c>
      <c r="V49" s="2">
        <v>8.2712402279677129</v>
      </c>
      <c r="W49" s="2">
        <v>8.4306267764790874</v>
      </c>
      <c r="X49" s="2">
        <v>8.3411668565775727</v>
      </c>
      <c r="Y49" s="2">
        <v>7.9571817800857847</v>
      </c>
      <c r="Z49" s="2">
        <v>7.6835914213532472</v>
      </c>
      <c r="AA49" s="2">
        <v>7.9473812222920479</v>
      </c>
      <c r="AB49" s="2">
        <v>9.0847527389920142</v>
      </c>
      <c r="AC49" s="2">
        <v>9.1365582598506005</v>
      </c>
      <c r="AD49" s="2">
        <v>6.3822033610859039</v>
      </c>
      <c r="AE49" s="2">
        <v>6.9758302443405142</v>
      </c>
      <c r="AF49" s="2">
        <v>7.4104445694920482</v>
      </c>
      <c r="AG49" s="2">
        <v>6.626916645749243</v>
      </c>
      <c r="AH49" s="2">
        <v>6.3891304669894478</v>
      </c>
      <c r="AI49" s="2">
        <v>6.8921561672730061</v>
      </c>
      <c r="AJ49" s="2">
        <v>6.7676645250319503</v>
      </c>
      <c r="AK49" s="2">
        <v>4.5338615093417509</v>
      </c>
      <c r="AL49" s="2">
        <v>6.0619554090714223</v>
      </c>
      <c r="AM49" s="2">
        <v>6.6528520193504619</v>
      </c>
      <c r="AN49" s="2">
        <v>6.3855919977113391</v>
      </c>
      <c r="AO49" s="2">
        <v>5.4573968402595971</v>
      </c>
      <c r="AP49" s="2">
        <v>5.3553464613443351</v>
      </c>
      <c r="AQ49" s="2">
        <v>5.5342892677476092</v>
      </c>
      <c r="AR49" s="2">
        <v>5.4866694666268483</v>
      </c>
      <c r="AS49" s="2">
        <v>5.5552306798531124</v>
      </c>
      <c r="AT49" s="2">
        <v>5.8944488764754874</v>
      </c>
      <c r="AU49" s="2">
        <v>4.2010755815050134</v>
      </c>
      <c r="AV49" s="2">
        <v>4.7174368415597581</v>
      </c>
      <c r="AW49" s="2">
        <v>4.1153883833201901</v>
      </c>
      <c r="AX49" s="2">
        <v>4.216929859295881</v>
      </c>
      <c r="AY49" s="2">
        <v>5.5788698160846328</v>
      </c>
      <c r="AZ49" s="2">
        <v>5.6008558678911342</v>
      </c>
      <c r="BA49" s="2">
        <v>5.7941855248212208</v>
      </c>
      <c r="BB49" s="2">
        <v>5.1424099675215738</v>
      </c>
      <c r="BC49" s="2">
        <v>4.7206159609785487</v>
      </c>
      <c r="BD49" s="2">
        <v>4.3689725120952314</v>
      </c>
      <c r="BE49" s="2">
        <v>3.5979090864197851</v>
      </c>
      <c r="BF49" s="2">
        <v>3.8038852283212008</v>
      </c>
      <c r="BG49" s="2">
        <v>3.775737254027089</v>
      </c>
      <c r="BH49" s="2">
        <v>3.3777764389510812</v>
      </c>
      <c r="BI49" s="2">
        <v>2.9220410244091011</v>
      </c>
      <c r="BJ49" s="2">
        <v>3.2168035054253479</v>
      </c>
      <c r="BK49" s="2">
        <v>3.927233092697394</v>
      </c>
      <c r="BL49" s="2">
        <v>3.7179009168214661</v>
      </c>
      <c r="BM49" s="2">
        <v>3.9503323974115521</v>
      </c>
      <c r="BN49" s="2">
        <v>4.3565594059276611</v>
      </c>
      <c r="BO49" s="2">
        <v>4.6412990754148558</v>
      </c>
      <c r="BP49" s="2">
        <v>5.0615730047805316</v>
      </c>
      <c r="BQ49" s="2">
        <v>4.8347314585521461</v>
      </c>
      <c r="BR49" s="2">
        <v>4.6577238340134333</v>
      </c>
      <c r="BS49" s="2">
        <v>5.623259458183604</v>
      </c>
      <c r="BT49" s="2">
        <v>6.2779321151821241</v>
      </c>
      <c r="BU49" s="2">
        <v>6.5887561234477001</v>
      </c>
      <c r="BV49" s="2">
        <v>11.224504285573969</v>
      </c>
      <c r="BW49" s="2">
        <v>7.1911387248146639</v>
      </c>
      <c r="BX49" s="2">
        <v>7.7164746846171592</v>
      </c>
      <c r="BY49" s="2">
        <v>8.0821673638060947</v>
      </c>
      <c r="BZ49" s="2">
        <v>14.51223862163863</v>
      </c>
      <c r="CA49" s="2">
        <v>12.78657421969271</v>
      </c>
      <c r="CB49" s="2">
        <f t="shared" si="0"/>
        <v>10.030862894211509</v>
      </c>
    </row>
    <row r="50" spans="1:80" x14ac:dyDescent="0.45">
      <c r="A50" t="s">
        <v>172</v>
      </c>
      <c r="B50">
        <v>187910</v>
      </c>
      <c r="C50">
        <v>664940</v>
      </c>
      <c r="D50" s="2">
        <v>12.8</v>
      </c>
      <c r="E50" s="2">
        <v>12.61698286021401</v>
      </c>
      <c r="F50" s="2">
        <v>12.426279278016169</v>
      </c>
      <c r="G50" s="2">
        <v>11.69428184853134</v>
      </c>
      <c r="H50" s="2">
        <v>11.684930251249559</v>
      </c>
      <c r="I50" s="2">
        <v>11.48450631158849</v>
      </c>
      <c r="J50" s="2">
        <v>11.2116020873239</v>
      </c>
      <c r="K50" s="2">
        <v>11.10888704004851</v>
      </c>
      <c r="L50" s="2">
        <v>11.474032639174521</v>
      </c>
      <c r="M50" s="2">
        <v>11.326205724698321</v>
      </c>
      <c r="N50" s="2">
        <v>11.1904952462103</v>
      </c>
      <c r="O50" s="2">
        <v>11.11105190223951</v>
      </c>
      <c r="P50" s="2">
        <v>11.747950543529431</v>
      </c>
      <c r="Q50" s="2">
        <v>12.015165444701999</v>
      </c>
      <c r="R50" s="10">
        <f>AVERAGE(P50,T50)</f>
        <v>12.411227418131245</v>
      </c>
      <c r="S50" s="2">
        <v>13.18880653475505</v>
      </c>
      <c r="T50" s="2">
        <v>13.07450429273306</v>
      </c>
      <c r="U50" s="2">
        <v>13.215842006393819</v>
      </c>
      <c r="V50" s="2">
        <v>13.311181347305039</v>
      </c>
      <c r="W50" s="2">
        <v>13.33489540306946</v>
      </c>
      <c r="X50" s="2">
        <v>13.60524275630716</v>
      </c>
      <c r="Y50" s="2">
        <v>12.892563582526639</v>
      </c>
      <c r="Z50" s="2">
        <v>12.88493053050694</v>
      </c>
      <c r="AA50" s="2">
        <v>13.56958936701373</v>
      </c>
      <c r="AB50" s="2">
        <v>14.06625215759534</v>
      </c>
      <c r="AC50" s="2">
        <v>14.24406478759134</v>
      </c>
      <c r="AD50" s="10">
        <f>AVERAGE(AB50,AF50)</f>
        <v>14.062810477368814</v>
      </c>
      <c r="AE50" s="2">
        <v>14.161271562457509</v>
      </c>
      <c r="AF50" s="2">
        <v>14.059368797142289</v>
      </c>
      <c r="AG50" s="2">
        <v>13.72071364820907</v>
      </c>
      <c r="AH50" s="2">
        <v>13.43173056639184</v>
      </c>
      <c r="AI50" s="2">
        <v>13.23504783358309</v>
      </c>
      <c r="AJ50" s="2">
        <v>13.16785915320164</v>
      </c>
      <c r="AK50" s="2">
        <v>12.50283169236042</v>
      </c>
      <c r="AL50" s="2">
        <v>11.186405240825399</v>
      </c>
      <c r="AM50" s="2">
        <v>11.359425392078141</v>
      </c>
      <c r="AN50" s="2">
        <v>11.06486171696724</v>
      </c>
      <c r="AO50" s="2">
        <v>10.8017054267565</v>
      </c>
      <c r="AP50" s="2">
        <v>10.64475356423717</v>
      </c>
      <c r="AQ50" s="2">
        <v>10.56471097006227</v>
      </c>
      <c r="AR50" s="2">
        <v>10.51816028855121</v>
      </c>
      <c r="AS50" s="2">
        <v>10.48211793792219</v>
      </c>
      <c r="AT50" s="2">
        <v>11.07525154324054</v>
      </c>
      <c r="AU50" s="2">
        <v>9.3665543903757147</v>
      </c>
      <c r="AV50" s="2">
        <v>9.1838714935690628</v>
      </c>
      <c r="AW50" s="2">
        <v>5.7066825855345602</v>
      </c>
      <c r="AX50" s="2">
        <v>6.8395987241724008</v>
      </c>
      <c r="AY50" s="2">
        <v>9.4750881823666937</v>
      </c>
      <c r="AZ50" s="2">
        <v>7.9445734689832372</v>
      </c>
      <c r="BA50" s="2">
        <v>9.085469244657892</v>
      </c>
      <c r="BB50" s="2">
        <v>8.1718417561206049</v>
      </c>
      <c r="BC50" s="2">
        <v>7.3269659331383403</v>
      </c>
      <c r="BD50" s="2">
        <v>6.4618260719652501</v>
      </c>
      <c r="BE50" s="2">
        <v>6.0341100452038976</v>
      </c>
      <c r="BF50" s="2">
        <v>6.1835975272164436</v>
      </c>
      <c r="BG50" s="2">
        <v>5.4541579987279096</v>
      </c>
      <c r="BH50" s="2">
        <v>5.3780284913890339</v>
      </c>
      <c r="BI50" s="2">
        <v>5.1158299103045843</v>
      </c>
      <c r="BJ50" s="2">
        <v>5.7492252069873384</v>
      </c>
      <c r="BK50" s="2">
        <v>6.0991038228736398</v>
      </c>
      <c r="BL50" s="2">
        <v>5.8613921088619767</v>
      </c>
      <c r="BM50" s="2">
        <v>6.9957506696513132</v>
      </c>
      <c r="BN50" s="2">
        <v>7.5372355048435367</v>
      </c>
      <c r="BO50" s="2">
        <v>8.3391772551853567</v>
      </c>
      <c r="BP50" s="2">
        <v>8.6451263335009401</v>
      </c>
      <c r="BQ50" s="2">
        <v>9.2324340541601142</v>
      </c>
      <c r="BR50" s="2">
        <v>7.7962701279156583</v>
      </c>
      <c r="BS50" s="2">
        <v>9.6913523286328012</v>
      </c>
      <c r="BT50" s="2">
        <v>9.5820420714795738</v>
      </c>
      <c r="BU50" s="2">
        <v>9.9631447435019265</v>
      </c>
      <c r="BV50" s="2">
        <v>11.638888888888889</v>
      </c>
      <c r="BW50" s="2">
        <v>8.983112049102397</v>
      </c>
      <c r="BX50" s="2">
        <v>9.3740403978938929</v>
      </c>
      <c r="BY50" s="2">
        <v>9.5230034413878286</v>
      </c>
      <c r="BZ50" s="2">
        <v>37.935278644190937</v>
      </c>
      <c r="CA50" s="2">
        <v>39.79952441069829</v>
      </c>
      <c r="CB50" s="2">
        <f t="shared" si="0"/>
        <v>14.24406478759134</v>
      </c>
    </row>
    <row r="51" spans="1:80" x14ac:dyDescent="0.45">
      <c r="A51" t="s">
        <v>173</v>
      </c>
      <c r="B51">
        <v>188545</v>
      </c>
      <c r="C51">
        <v>665800</v>
      </c>
      <c r="D51" s="2">
        <v>14.93110246459837</v>
      </c>
      <c r="E51" s="2">
        <v>14.93740095733509</v>
      </c>
      <c r="F51" s="2">
        <v>13.24238718169036</v>
      </c>
      <c r="G51" s="2">
        <v>13.805730673013009</v>
      </c>
      <c r="H51" s="2">
        <v>13.583720777839989</v>
      </c>
      <c r="I51" s="2">
        <v>13.28081874875679</v>
      </c>
      <c r="J51" s="2">
        <v>11.542862672354939</v>
      </c>
      <c r="K51" s="2">
        <v>11.325545059219429</v>
      </c>
      <c r="L51" s="2">
        <v>13.1565930302501</v>
      </c>
      <c r="M51" s="2">
        <v>11.553271028307041</v>
      </c>
      <c r="N51" s="2">
        <v>11.64759532506238</v>
      </c>
      <c r="O51" s="2">
        <v>11.688692943823741</v>
      </c>
      <c r="P51" s="2">
        <v>13.49427036151779</v>
      </c>
      <c r="Q51" s="2">
        <v>13.24203548222761</v>
      </c>
      <c r="R51" s="2">
        <v>11.82364894225433</v>
      </c>
      <c r="S51" s="2">
        <v>14.906995550158481</v>
      </c>
      <c r="T51" s="2">
        <v>15.236623739455119</v>
      </c>
      <c r="U51" s="2">
        <v>15.48960066137229</v>
      </c>
      <c r="V51" s="2">
        <v>15.542195475550111</v>
      </c>
      <c r="W51" s="2">
        <v>15.634750574755911</v>
      </c>
      <c r="X51" s="2">
        <v>15.780541495534409</v>
      </c>
      <c r="Y51" s="2">
        <v>15.88297440305481</v>
      </c>
      <c r="Z51" s="2">
        <v>15.971805249144889</v>
      </c>
      <c r="AA51" s="2">
        <v>16.000933260512092</v>
      </c>
      <c r="AB51" s="2">
        <v>16.14803647283372</v>
      </c>
      <c r="AC51" s="2">
        <v>16.292990120062541</v>
      </c>
      <c r="AD51" s="2">
        <v>14.025997084867241</v>
      </c>
      <c r="AE51" s="2">
        <v>16.326810133023031</v>
      </c>
      <c r="AF51" s="2">
        <v>16.220962635962149</v>
      </c>
      <c r="AG51" s="2">
        <v>16.077771213200641</v>
      </c>
      <c r="AH51" s="2">
        <v>15.88870510592138</v>
      </c>
      <c r="AI51" s="2">
        <v>15.65469443601425</v>
      </c>
      <c r="AJ51" s="2">
        <v>15.588949603595051</v>
      </c>
      <c r="AK51" s="2">
        <v>15.161571794603759</v>
      </c>
      <c r="AL51" s="2">
        <v>14.23154717377113</v>
      </c>
      <c r="AM51" s="2">
        <v>14.349812142022071</v>
      </c>
      <c r="AN51" s="2">
        <v>14.149902872846379</v>
      </c>
      <c r="AO51" s="2">
        <v>13.862290819902411</v>
      </c>
      <c r="AP51" s="2">
        <v>13.641837409229559</v>
      </c>
      <c r="AQ51" s="2">
        <v>13.485793229755361</v>
      </c>
      <c r="AR51" s="2">
        <v>13.43902898648334</v>
      </c>
      <c r="AS51" s="2">
        <v>13.299508876023721</v>
      </c>
      <c r="AT51" s="2">
        <v>13.065446854763289</v>
      </c>
      <c r="AU51" s="2">
        <v>12.40309718890909</v>
      </c>
      <c r="AV51" s="2">
        <v>12.353821716378439</v>
      </c>
      <c r="AW51" s="2">
        <v>11.4744997036199</v>
      </c>
      <c r="AX51" s="2">
        <v>11.70718795377676</v>
      </c>
      <c r="AY51" s="2">
        <v>12.339861765503329</v>
      </c>
      <c r="AZ51" s="2">
        <v>11.339435236044009</v>
      </c>
      <c r="BA51" s="2">
        <v>11.624390853853811</v>
      </c>
      <c r="BB51" s="2">
        <v>11.659902341221571</v>
      </c>
      <c r="BC51" s="2">
        <v>11.156012394922319</v>
      </c>
      <c r="BD51" s="2">
        <v>10.308730116351271</v>
      </c>
      <c r="BE51" s="2">
        <v>10.211943748599809</v>
      </c>
      <c r="BF51" s="2">
        <v>9.8521113629731616</v>
      </c>
      <c r="BG51" s="2">
        <v>9.5504554364121823</v>
      </c>
      <c r="BH51" s="2">
        <v>9.5090606993788445</v>
      </c>
      <c r="BI51" s="2">
        <v>9.3580332543004499</v>
      </c>
      <c r="BJ51" s="2">
        <v>9.7889014130173919</v>
      </c>
      <c r="BK51" s="2">
        <v>10.008104218731409</v>
      </c>
      <c r="BL51" s="2">
        <v>10.137961070024531</v>
      </c>
      <c r="BM51" s="2">
        <v>10.38396145805944</v>
      </c>
      <c r="BN51" s="2">
        <v>10.96474001184604</v>
      </c>
      <c r="BO51" s="2">
        <v>11.28547473724762</v>
      </c>
      <c r="BP51" s="2">
        <v>11.684671210635409</v>
      </c>
      <c r="BQ51" s="2">
        <v>12.149444945914309</v>
      </c>
      <c r="BR51" s="2">
        <v>12.07823667276371</v>
      </c>
      <c r="BS51" s="2">
        <v>13.117701762128791</v>
      </c>
      <c r="BT51" s="2">
        <v>13.07073494321692</v>
      </c>
      <c r="BU51" s="2">
        <v>13.223206203154019</v>
      </c>
      <c r="BV51" s="2">
        <v>14.063333333333331</v>
      </c>
      <c r="BW51" s="2">
        <v>10.58205325547833</v>
      </c>
      <c r="BX51" s="2">
        <v>11.22953199117141</v>
      </c>
      <c r="BY51" s="2">
        <v>7.8506350800331894</v>
      </c>
      <c r="BZ51" s="2">
        <v>11.491751785583469</v>
      </c>
      <c r="CA51" s="2">
        <v>16.776250000000001</v>
      </c>
      <c r="CB51" s="2">
        <f t="shared" si="0"/>
        <v>16.326810133023031</v>
      </c>
    </row>
    <row r="52" spans="1:80" x14ac:dyDescent="0.45">
      <c r="A52" t="s">
        <v>174</v>
      </c>
      <c r="B52">
        <v>189450</v>
      </c>
      <c r="C52">
        <v>665915</v>
      </c>
      <c r="D52" s="2">
        <v>17.5</v>
      </c>
      <c r="E52" s="2">
        <v>18.399507866673829</v>
      </c>
      <c r="F52" s="2">
        <v>14.91183941625634</v>
      </c>
      <c r="G52" s="2">
        <v>14.79660227143194</v>
      </c>
      <c r="H52" s="2">
        <v>14.993503867967791</v>
      </c>
      <c r="I52" s="2">
        <v>14.74554860609603</v>
      </c>
      <c r="J52" s="2">
        <f>AVERAGE(J51,J53)</f>
        <v>12.902556531280108</v>
      </c>
      <c r="K52" s="2">
        <v>11.67322581699057</v>
      </c>
      <c r="L52" s="2">
        <v>13.21577766564501</v>
      </c>
      <c r="M52" s="2">
        <v>11.93912009090759</v>
      </c>
      <c r="N52" s="2">
        <v>12.109459410547551</v>
      </c>
      <c r="O52" s="2">
        <v>12.157073880174069</v>
      </c>
      <c r="P52" s="2">
        <v>14.26340412620252</v>
      </c>
      <c r="Q52" s="2">
        <v>13.702861936493351</v>
      </c>
      <c r="R52" s="10">
        <f>AVERAGE(P52,T52)</f>
        <v>15.107644195706214</v>
      </c>
      <c r="S52" s="2">
        <v>15.573588308763339</v>
      </c>
      <c r="T52" s="2">
        <v>15.951884265209911</v>
      </c>
      <c r="U52" s="2">
        <v>16.27134038595857</v>
      </c>
      <c r="V52" s="2">
        <v>16.488060715202341</v>
      </c>
      <c r="W52" s="2">
        <v>16.709920675287481</v>
      </c>
      <c r="X52" s="2">
        <v>16.908619456391321</v>
      </c>
      <c r="Y52" s="2">
        <v>16.948598174255</v>
      </c>
      <c r="Z52" s="2">
        <v>17.0087168686604</v>
      </c>
      <c r="AA52" s="2">
        <v>16.73075270081106</v>
      </c>
      <c r="AB52" s="2">
        <v>16.804072673910369</v>
      </c>
      <c r="AC52" s="2">
        <v>17.165814568928901</v>
      </c>
      <c r="AD52" s="2">
        <v>14.92550872494358</v>
      </c>
      <c r="AE52" s="2">
        <v>17.650389977980979</v>
      </c>
      <c r="AF52" s="2">
        <v>17.918981605234372</v>
      </c>
      <c r="AG52" s="2">
        <v>18.026487269976499</v>
      </c>
      <c r="AH52" s="2">
        <v>18.044783805680321</v>
      </c>
      <c r="AI52" s="2">
        <v>18.000216611491549</v>
      </c>
      <c r="AJ52" s="2">
        <v>17.292724527772521</v>
      </c>
      <c r="AK52" s="2">
        <v>16.991251568564071</v>
      </c>
      <c r="AL52" s="2">
        <v>14.28934540094696</v>
      </c>
      <c r="AM52" s="2">
        <v>13.926159043458711</v>
      </c>
      <c r="AN52" s="2">
        <v>13.7264214520254</v>
      </c>
      <c r="AO52" s="2">
        <v>15.35581885068664</v>
      </c>
      <c r="AP52" s="2">
        <v>14.12379238208721</v>
      </c>
      <c r="AQ52" s="2">
        <v>15.04707656731583</v>
      </c>
      <c r="AR52" s="2">
        <v>15.053749529563801</v>
      </c>
      <c r="AS52" s="2">
        <v>15.591191959619691</v>
      </c>
      <c r="AT52" s="2">
        <v>15.61852988286487</v>
      </c>
      <c r="AU52" s="2">
        <v>14.13423609291274</v>
      </c>
      <c r="AV52" s="2">
        <v>13.97005506638237</v>
      </c>
      <c r="AW52" s="2">
        <v>13.86756778290705</v>
      </c>
      <c r="AX52" s="2">
        <v>10.77077720087477</v>
      </c>
      <c r="AY52" s="2">
        <v>10.10494422002394</v>
      </c>
      <c r="AZ52" s="2">
        <v>13.622864408116589</v>
      </c>
      <c r="BA52" s="2">
        <v>14.360253032617329</v>
      </c>
      <c r="BB52" s="2">
        <v>13.94524608145373</v>
      </c>
      <c r="BC52" s="2">
        <v>14.07984135081356</v>
      </c>
      <c r="BD52" s="2">
        <v>13.157710270978219</v>
      </c>
      <c r="BE52" s="2">
        <v>15.247834654978581</v>
      </c>
      <c r="BF52" s="2">
        <v>14.460062970469959</v>
      </c>
      <c r="BG52" s="2">
        <v>14.36291921183148</v>
      </c>
      <c r="BH52" s="2">
        <v>14.38140034468452</v>
      </c>
      <c r="BI52" s="2">
        <v>14.659767050279349</v>
      </c>
      <c r="BJ52" s="2">
        <v>15.22630655099306</v>
      </c>
      <c r="BK52" s="2">
        <v>15.372397320979349</v>
      </c>
      <c r="BL52" s="2">
        <v>15.29890283586777</v>
      </c>
      <c r="BM52" s="2">
        <v>15.38946796851836</v>
      </c>
      <c r="BN52" s="2">
        <v>16.891291211270339</v>
      </c>
      <c r="BO52" s="2">
        <v>17.10579414574303</v>
      </c>
      <c r="BP52" s="2">
        <v>17.521442218246559</v>
      </c>
      <c r="BQ52" s="2">
        <v>17.727372713129899</v>
      </c>
      <c r="BR52" s="2">
        <v>18.777785687106501</v>
      </c>
      <c r="BS52" s="2">
        <v>18.372082837433648</v>
      </c>
      <c r="BT52" s="2">
        <v>17.487986398811209</v>
      </c>
      <c r="BU52" s="2">
        <v>16.806826613814021</v>
      </c>
      <c r="BV52" s="2">
        <v>16.892222222222198</v>
      </c>
      <c r="BW52" s="2">
        <v>14.426286500750869</v>
      </c>
      <c r="BX52" s="2">
        <v>16.4887626047148</v>
      </c>
      <c r="BY52" s="2">
        <v>11.90483643360875</v>
      </c>
      <c r="BZ52" s="2">
        <v>13.210510517941239</v>
      </c>
      <c r="CA52" s="2">
        <v>23.270475552028831</v>
      </c>
      <c r="CB52" s="2">
        <f t="shared" si="0"/>
        <v>18.399507866673829</v>
      </c>
    </row>
    <row r="53" spans="1:80" x14ac:dyDescent="0.45">
      <c r="A53" t="s">
        <v>175</v>
      </c>
      <c r="B53">
        <v>190980</v>
      </c>
      <c r="C53">
        <v>665533</v>
      </c>
      <c r="D53" s="2">
        <v>18.2</v>
      </c>
      <c r="E53" s="2">
        <v>16.491821981810009</v>
      </c>
      <c r="F53" s="2">
        <v>15.65930300023528</v>
      </c>
      <c r="G53" s="2">
        <v>16.687066777594119</v>
      </c>
      <c r="H53" s="2">
        <v>17.417491216623119</v>
      </c>
      <c r="I53" s="2">
        <v>15.307186052923729</v>
      </c>
      <c r="J53" s="2">
        <v>14.26225039020528</v>
      </c>
      <c r="K53" s="2">
        <v>13.231845515415181</v>
      </c>
      <c r="L53" s="2">
        <v>12.81752074998071</v>
      </c>
      <c r="M53" s="2">
        <v>13.945005557510241</v>
      </c>
      <c r="N53" s="2">
        <v>13.97703408245315</v>
      </c>
      <c r="O53" s="2">
        <v>13.4458138673204</v>
      </c>
      <c r="P53" s="2">
        <v>14.986067371810011</v>
      </c>
      <c r="Q53" s="2">
        <v>13.816708119007989</v>
      </c>
      <c r="R53" s="2">
        <v>14.355614091892029</v>
      </c>
      <c r="S53" s="2">
        <v>14.72059924069602</v>
      </c>
      <c r="T53" s="2">
        <v>15.224561486201379</v>
      </c>
      <c r="U53" s="2">
        <v>15.561888552774811</v>
      </c>
      <c r="V53" s="2">
        <v>16.28491982478878</v>
      </c>
      <c r="W53" s="2">
        <v>16.62918646699681</v>
      </c>
      <c r="X53" s="2">
        <v>16.597673537064281</v>
      </c>
      <c r="Y53" s="2">
        <v>16.363311813068901</v>
      </c>
      <c r="Z53" s="2">
        <v>16.34190767453341</v>
      </c>
      <c r="AA53" s="2">
        <v>15.60566005645989</v>
      </c>
      <c r="AB53" s="2">
        <v>15.10753478187392</v>
      </c>
      <c r="AC53" s="2">
        <v>15.9125051876981</v>
      </c>
      <c r="AD53" s="2">
        <v>13.78651848697471</v>
      </c>
      <c r="AE53" s="2">
        <v>18.047989856784351</v>
      </c>
      <c r="AF53" s="2">
        <v>18.250750201753931</v>
      </c>
      <c r="AG53" s="2">
        <v>18.784824290158198</v>
      </c>
      <c r="AH53" s="2">
        <v>18.994134670203259</v>
      </c>
      <c r="AI53" s="2">
        <v>19.29445648766384</v>
      </c>
      <c r="AJ53" s="2">
        <v>19.77484722486237</v>
      </c>
      <c r="AK53" s="2">
        <v>18.669875176203931</v>
      </c>
      <c r="AL53" s="2">
        <v>14.43459117529672</v>
      </c>
      <c r="AM53" s="2">
        <v>14.630984134727679</v>
      </c>
      <c r="AN53" s="2">
        <v>14.7653710894916</v>
      </c>
      <c r="AO53" s="2">
        <v>15.28940509833121</v>
      </c>
      <c r="AP53" s="2">
        <v>14.953576937116839</v>
      </c>
      <c r="AQ53" s="2">
        <v>13.527707756201369</v>
      </c>
      <c r="AR53" s="2">
        <v>14.93125</v>
      </c>
      <c r="AS53" s="2">
        <v>16.62761729050294</v>
      </c>
      <c r="AT53" s="2">
        <v>16.662205238634691</v>
      </c>
      <c r="AU53" s="2">
        <v>15.74163453177508</v>
      </c>
      <c r="AV53" s="2">
        <v>16.108999999992399</v>
      </c>
      <c r="AW53" s="2">
        <v>17.24580103710856</v>
      </c>
      <c r="AX53" s="2">
        <v>14.779642348799969</v>
      </c>
      <c r="AY53" s="2">
        <v>14.76697374415347</v>
      </c>
      <c r="AZ53" s="2">
        <v>16.666360342044349</v>
      </c>
      <c r="BA53" s="2">
        <v>16.702519868145501</v>
      </c>
      <c r="BB53" s="2">
        <v>17.66719788136125</v>
      </c>
      <c r="BC53" s="2">
        <v>17.883616201032151</v>
      </c>
      <c r="BD53" s="2">
        <v>17.609612343153259</v>
      </c>
      <c r="BE53" s="2">
        <v>18.411035422975999</v>
      </c>
      <c r="BF53" s="2">
        <v>18.391114283601279</v>
      </c>
      <c r="BG53" s="2">
        <v>18.531927202926699</v>
      </c>
      <c r="BH53" s="2">
        <v>18.829112560919128</v>
      </c>
      <c r="BI53" s="2">
        <v>18.59391888897072</v>
      </c>
      <c r="BJ53" s="2">
        <v>19.23797764919507</v>
      </c>
      <c r="BK53" s="2">
        <v>18.826096988566341</v>
      </c>
      <c r="BL53" s="2">
        <v>19.137197524581769</v>
      </c>
      <c r="BM53" s="2">
        <v>19.193661931158779</v>
      </c>
      <c r="BN53" s="2">
        <v>20.145624664474699</v>
      </c>
      <c r="BO53" s="2">
        <v>20.291130961092669</v>
      </c>
      <c r="BP53" s="2">
        <v>20.710383922056032</v>
      </c>
      <c r="BQ53" s="2">
        <v>21.253723888321531</v>
      </c>
      <c r="BR53" s="2">
        <v>23.213022764719032</v>
      </c>
      <c r="BS53" s="2">
        <v>22.449926369840831</v>
      </c>
      <c r="BT53" s="2">
        <v>21.57281760732111</v>
      </c>
      <c r="BU53" s="2">
        <v>21.84089153634682</v>
      </c>
      <c r="BV53" s="2">
        <v>22.227998355578421</v>
      </c>
      <c r="BW53" s="2">
        <v>21.25982970365035</v>
      </c>
      <c r="BX53" s="2">
        <v>26.04965297938973</v>
      </c>
      <c r="BY53" s="2">
        <v>22.39101505720128</v>
      </c>
      <c r="BZ53" s="2">
        <v>22.504932815135291</v>
      </c>
      <c r="CA53" s="2"/>
      <c r="CB53" s="2">
        <f t="shared" si="0"/>
        <v>19.77484722486237</v>
      </c>
    </row>
    <row r="54" spans="1:80" x14ac:dyDescent="0.45">
      <c r="A54" t="s">
        <v>176</v>
      </c>
      <c r="B54">
        <v>191750</v>
      </c>
      <c r="C54">
        <v>665670</v>
      </c>
      <c r="D54" s="2">
        <v>17.3</v>
      </c>
      <c r="E54" s="2">
        <v>16.86886467125036</v>
      </c>
      <c r="F54" s="2">
        <v>15.75514552216738</v>
      </c>
      <c r="G54" s="2">
        <v>17.452227421832092</v>
      </c>
      <c r="H54" s="2">
        <v>17.544686252150729</v>
      </c>
      <c r="I54" s="2">
        <v>15.746037561071519</v>
      </c>
      <c r="J54" s="2">
        <v>13.84387152187532</v>
      </c>
      <c r="K54" s="2">
        <v>11.637652574233011</v>
      </c>
      <c r="L54" s="2">
        <v>11.385899210855101</v>
      </c>
      <c r="M54" s="2">
        <v>12.80052311751561</v>
      </c>
      <c r="N54" s="2">
        <v>13.298450169167211</v>
      </c>
      <c r="O54" s="2">
        <v>13.5838582498971</v>
      </c>
      <c r="P54" s="2">
        <v>15.378259521340031</v>
      </c>
      <c r="Q54" s="2">
        <v>12.87896352453974</v>
      </c>
      <c r="R54" s="2">
        <v>12.0464606981035</v>
      </c>
      <c r="S54" s="2">
        <v>13.31158080295311</v>
      </c>
      <c r="T54" s="2">
        <v>14.08186573173516</v>
      </c>
      <c r="U54" s="2">
        <v>14.6498594288267</v>
      </c>
      <c r="V54" s="2">
        <v>14.94305963122466</v>
      </c>
      <c r="W54" s="2">
        <v>15.671813362385979</v>
      </c>
      <c r="X54" s="2">
        <v>16.084596332793272</v>
      </c>
      <c r="Y54" s="2">
        <v>15.93452740975286</v>
      </c>
      <c r="Z54" s="2">
        <v>15.17659650948328</v>
      </c>
      <c r="AA54" s="2">
        <v>14.332727375311229</v>
      </c>
      <c r="AB54" s="2">
        <v>14.26454965691541</v>
      </c>
      <c r="AC54" s="2">
        <v>14.865641025197551</v>
      </c>
      <c r="AD54" s="2">
        <v>14.266889798711549</v>
      </c>
      <c r="AE54" s="2">
        <v>17.82314924746689</v>
      </c>
      <c r="AF54" s="2">
        <v>18.66214090505111</v>
      </c>
      <c r="AG54" s="2">
        <v>19.35913529392014</v>
      </c>
      <c r="AH54" s="2">
        <v>19.762856873930101</v>
      </c>
      <c r="AI54" s="2">
        <v>19.827792572665029</v>
      </c>
      <c r="AJ54" s="2">
        <v>20.622660020667102</v>
      </c>
      <c r="AK54" s="2">
        <v>19.15752478615175</v>
      </c>
      <c r="AL54" s="2">
        <v>13.551737168995841</v>
      </c>
      <c r="AM54" s="2">
        <v>13.901300447305379</v>
      </c>
      <c r="AN54" s="2">
        <v>14.578100367949681</v>
      </c>
      <c r="AO54" s="2">
        <v>15.32798002480718</v>
      </c>
      <c r="AP54" s="2">
        <v>14.606132729822869</v>
      </c>
      <c r="AQ54" s="2">
        <v>13.517602848306209</v>
      </c>
      <c r="AR54" s="2">
        <v>15.1319445458061</v>
      </c>
      <c r="AS54" s="2">
        <v>17.603143156759351</v>
      </c>
      <c r="AT54" s="2">
        <v>17.205555555555542</v>
      </c>
      <c r="AU54" s="2">
        <v>15.75350708258442</v>
      </c>
      <c r="AV54" s="2">
        <v>17.223333333333329</v>
      </c>
      <c r="AW54" s="2">
        <v>17.09448616049788</v>
      </c>
      <c r="AX54" s="2">
        <v>15.262272931619259</v>
      </c>
      <c r="AY54" s="2">
        <v>16.515486704460571</v>
      </c>
      <c r="AZ54" s="2">
        <v>16.95264747993102</v>
      </c>
      <c r="BA54" s="2">
        <v>16.915538059955999</v>
      </c>
      <c r="BB54" s="2">
        <v>18.455601635378109</v>
      </c>
      <c r="BC54" s="2">
        <v>18.203296041520961</v>
      </c>
      <c r="BD54" s="2">
        <v>17.87178031136494</v>
      </c>
      <c r="BE54" s="2">
        <v>18.307087887761899</v>
      </c>
      <c r="BF54" s="2">
        <v>18.077500000000001</v>
      </c>
      <c r="BG54" s="2">
        <v>18.412769015826392</v>
      </c>
      <c r="BH54" s="2">
        <v>18.972500000000011</v>
      </c>
      <c r="BI54" s="2">
        <v>18.33465394352493</v>
      </c>
      <c r="BJ54" s="2">
        <v>18.612066738763978</v>
      </c>
      <c r="BK54" s="2">
        <v>18.232421522651091</v>
      </c>
      <c r="BL54" s="2">
        <v>18.833048471825311</v>
      </c>
      <c r="BM54" s="2">
        <v>18.131318851713282</v>
      </c>
      <c r="BN54" s="2">
        <v>18.68695799739427</v>
      </c>
      <c r="BO54" s="2">
        <v>19.429857159221751</v>
      </c>
      <c r="BP54" s="2">
        <v>19.481074110955319</v>
      </c>
      <c r="BQ54" s="2">
        <v>19.98678839150875</v>
      </c>
      <c r="BR54" s="2">
        <v>21.374132003111519</v>
      </c>
      <c r="BS54" s="2">
        <v>22.586460459484211</v>
      </c>
      <c r="BT54" s="2">
        <v>22.297380618641299</v>
      </c>
      <c r="BU54" s="2">
        <v>22.75888888888889</v>
      </c>
      <c r="BV54" s="2">
        <v>22.85</v>
      </c>
      <c r="BW54" s="2">
        <v>22.30605292448891</v>
      </c>
      <c r="BX54" s="2">
        <v>23.735863172830982</v>
      </c>
      <c r="BY54" s="2">
        <v>24.207385489453419</v>
      </c>
      <c r="BZ54" s="2">
        <v>24.437122846307421</v>
      </c>
      <c r="CA54" s="2"/>
      <c r="CB54" s="2">
        <f t="shared" si="0"/>
        <v>20.622660020667102</v>
      </c>
    </row>
    <row r="55" spans="1:80" x14ac:dyDescent="0.45">
      <c r="A55" t="s">
        <v>177</v>
      </c>
      <c r="B55">
        <v>191875</v>
      </c>
      <c r="C55">
        <v>665980</v>
      </c>
      <c r="D55" s="2">
        <v>17.157913177921269</v>
      </c>
      <c r="E55" s="2">
        <v>17.76282529863466</v>
      </c>
      <c r="F55" s="2">
        <v>15.74122398395952</v>
      </c>
      <c r="G55" s="2">
        <v>17.452227421942659</v>
      </c>
      <c r="H55" s="2">
        <v>17.374036649493672</v>
      </c>
      <c r="I55" s="2">
        <v>15.771831621136769</v>
      </c>
      <c r="J55" s="2">
        <v>13.7528330177506</v>
      </c>
      <c r="K55" s="2">
        <v>11.57158601394613</v>
      </c>
      <c r="L55" s="2">
        <v>11.20143253779182</v>
      </c>
      <c r="M55" s="2">
        <v>12.619703727598139</v>
      </c>
      <c r="N55" s="2">
        <v>13.00035024139914</v>
      </c>
      <c r="O55" s="2">
        <v>13.595879392433959</v>
      </c>
      <c r="P55" s="2">
        <v>13.80095665366364</v>
      </c>
      <c r="Q55" s="2">
        <v>12.87896352453973</v>
      </c>
      <c r="R55" s="2">
        <v>12.046460698251471</v>
      </c>
      <c r="S55" s="2">
        <v>13.19765021455628</v>
      </c>
      <c r="T55" s="2">
        <v>13.591032674330281</v>
      </c>
      <c r="U55" s="2">
        <v>14.333292531434561</v>
      </c>
      <c r="V55" s="2">
        <v>15.15167667047683</v>
      </c>
      <c r="W55" s="2">
        <v>16.011281856888459</v>
      </c>
      <c r="X55" s="2">
        <v>15.84460507369478</v>
      </c>
      <c r="Y55" s="2">
        <v>15.938333333333331</v>
      </c>
      <c r="Z55" s="2">
        <v>14.815617051415069</v>
      </c>
      <c r="AA55" s="2">
        <v>14.11277650593655</v>
      </c>
      <c r="AB55" s="2">
        <v>13.905271787465651</v>
      </c>
      <c r="AC55" s="2">
        <v>14.436865949578589</v>
      </c>
      <c r="AD55" s="2">
        <v>14.264111496002529</v>
      </c>
      <c r="AE55" s="2">
        <v>17.872331049866158</v>
      </c>
      <c r="AF55" s="2">
        <v>18.642098260255651</v>
      </c>
      <c r="AG55" s="2">
        <v>19.365851935249921</v>
      </c>
      <c r="AH55" s="2">
        <v>19.771783540509549</v>
      </c>
      <c r="AI55" s="2">
        <v>20.114233386965861</v>
      </c>
      <c r="AJ55" s="2">
        <v>21.589550681150019</v>
      </c>
      <c r="AK55" s="2">
        <v>19.77368145536164</v>
      </c>
      <c r="AL55" s="2">
        <v>13.162664291268429</v>
      </c>
      <c r="AM55" s="2">
        <v>13.51432122142236</v>
      </c>
      <c r="AN55" s="2">
        <v>14.182155059781341</v>
      </c>
      <c r="AO55" s="2">
        <v>15.324390774084661</v>
      </c>
      <c r="AP55" s="2">
        <v>14.2572199708495</v>
      </c>
      <c r="AQ55" s="2">
        <v>13.392024818079641</v>
      </c>
      <c r="AR55" s="2">
        <v>15.632132217073821</v>
      </c>
      <c r="AS55" s="2">
        <v>17.576403862073199</v>
      </c>
      <c r="AT55" s="2">
        <v>17.44501009107881</v>
      </c>
      <c r="AU55" s="2">
        <v>16.885555555555559</v>
      </c>
      <c r="AV55" s="2">
        <v>17.378181818181812</v>
      </c>
      <c r="AW55" s="2">
        <v>16.967596837229699</v>
      </c>
      <c r="AX55" s="2">
        <v>15.38200918351661</v>
      </c>
      <c r="AY55" s="2">
        <v>16.719500769265569</v>
      </c>
      <c r="AZ55" s="2">
        <v>16.994980856851889</v>
      </c>
      <c r="BA55" s="2">
        <v>16.954643226277259</v>
      </c>
      <c r="BB55" s="2">
        <v>17.730355657390682</v>
      </c>
      <c r="BC55" s="2">
        <v>18.087421986171979</v>
      </c>
      <c r="BD55" s="2">
        <v>17.926354780359041</v>
      </c>
      <c r="BE55" s="2">
        <v>18.313333333333329</v>
      </c>
      <c r="BF55" s="2">
        <v>17.935697575864399</v>
      </c>
      <c r="BG55" s="2">
        <v>17.797032566725559</v>
      </c>
      <c r="BH55" s="2">
        <v>18.587178788183991</v>
      </c>
      <c r="BI55" s="2">
        <v>18.33799999999999</v>
      </c>
      <c r="BJ55" s="2">
        <v>17.982504266633921</v>
      </c>
      <c r="BK55" s="2">
        <v>18.096</v>
      </c>
      <c r="BL55" s="2">
        <v>18.656999999999989</v>
      </c>
      <c r="BM55" s="2">
        <v>17.460378776872329</v>
      </c>
      <c r="BN55" s="2">
        <v>20.343541414689589</v>
      </c>
      <c r="BO55" s="2">
        <v>19.057903445207689</v>
      </c>
      <c r="BP55" s="2">
        <v>19.44244297641551</v>
      </c>
      <c r="BQ55" s="2">
        <v>19.718858765815071</v>
      </c>
      <c r="BR55" s="2">
        <v>20.839805591701062</v>
      </c>
      <c r="BS55" s="2">
        <v>22.461246541690901</v>
      </c>
      <c r="BT55" s="2">
        <v>22.22558814004103</v>
      </c>
      <c r="BU55" s="2">
        <v>22.799992116567029</v>
      </c>
      <c r="BV55" s="2">
        <v>22.85</v>
      </c>
      <c r="BW55" s="2">
        <v>22.281400702640891</v>
      </c>
      <c r="BX55" s="2">
        <v>23.523061967073051</v>
      </c>
      <c r="BY55" s="2">
        <v>24.417013406662491</v>
      </c>
      <c r="BZ55" s="2">
        <v>24.356626134040059</v>
      </c>
      <c r="CA55" s="2"/>
      <c r="CB55" s="2">
        <f t="shared" si="0"/>
        <v>21.589550681150019</v>
      </c>
    </row>
    <row r="56" spans="1:80" x14ac:dyDescent="0.45">
      <c r="A56" t="s">
        <v>178</v>
      </c>
      <c r="B56">
        <v>192070</v>
      </c>
      <c r="C56">
        <v>666800</v>
      </c>
      <c r="D56" s="2">
        <v>16.5</v>
      </c>
      <c r="E56" s="2">
        <v>19.92670112312231</v>
      </c>
      <c r="F56" s="2">
        <v>14.799246382713861</v>
      </c>
      <c r="G56" s="2">
        <v>16.91931581216458</v>
      </c>
      <c r="H56" s="2">
        <v>16.748797117938931</v>
      </c>
      <c r="I56" s="2">
        <v>15.521250000000011</v>
      </c>
      <c r="J56" s="2">
        <v>13.564333974239871</v>
      </c>
      <c r="K56" s="2">
        <v>12.1437940733747</v>
      </c>
      <c r="L56" s="2">
        <v>11.615622459732871</v>
      </c>
      <c r="M56" s="2">
        <v>12.59873572989993</v>
      </c>
      <c r="N56" s="2">
        <v>13.0040701718337</v>
      </c>
      <c r="O56" s="2">
        <v>12.64495322264769</v>
      </c>
      <c r="P56" s="2">
        <v>13.734678738224909</v>
      </c>
      <c r="Q56" s="2">
        <v>12.839999996839561</v>
      </c>
      <c r="R56" s="2">
        <v>11.632691094788861</v>
      </c>
      <c r="S56" s="2">
        <v>11.500482249985421</v>
      </c>
      <c r="T56" s="2">
        <v>12.58119819030917</v>
      </c>
      <c r="U56" s="10">
        <f>AVERAGE(U55,U57)</f>
        <v>13.810053415312385</v>
      </c>
      <c r="V56" s="2">
        <v>14.023261738716281</v>
      </c>
      <c r="W56" s="2">
        <v>15.16888888888889</v>
      </c>
      <c r="X56" s="2">
        <v>15.72783518736097</v>
      </c>
      <c r="Y56" s="2">
        <v>15.64</v>
      </c>
      <c r="Z56" s="2">
        <v>14.33551790800394</v>
      </c>
      <c r="AA56" s="2">
        <v>10.895</v>
      </c>
      <c r="AB56" s="2">
        <v>11.10409838742415</v>
      </c>
      <c r="AC56" s="2">
        <v>12.38188732562641</v>
      </c>
      <c r="AD56" s="2">
        <v>13.435070323385929</v>
      </c>
      <c r="AE56" s="2">
        <v>17.201665575788692</v>
      </c>
      <c r="AF56" s="2">
        <v>18.483926343968129</v>
      </c>
      <c r="AG56" s="2">
        <v>19.32311979776679</v>
      </c>
      <c r="AH56" s="2">
        <v>19.804444444444449</v>
      </c>
      <c r="AI56" s="2">
        <v>20.394360331403728</v>
      </c>
      <c r="AJ56" s="2">
        <v>21.65111111111111</v>
      </c>
      <c r="AK56" s="2">
        <v>19.774999999999981</v>
      </c>
      <c r="AL56" s="2">
        <v>12.33042789465042</v>
      </c>
      <c r="AM56" s="2">
        <v>12.574999999999999</v>
      </c>
      <c r="AN56" s="2">
        <v>14.260924049833751</v>
      </c>
      <c r="AO56" s="2">
        <v>15.14875</v>
      </c>
      <c r="AP56" s="2">
        <v>14.315</v>
      </c>
      <c r="AQ56" s="2">
        <v>13.092222222222221</v>
      </c>
      <c r="AR56" s="2">
        <v>14.323</v>
      </c>
      <c r="AS56" s="2">
        <v>17.439</v>
      </c>
      <c r="AT56" s="2">
        <v>17.49232052208054</v>
      </c>
      <c r="AU56" s="2">
        <v>16.167000000000009</v>
      </c>
      <c r="AV56" s="2">
        <v>17.959069263961119</v>
      </c>
      <c r="AW56" s="2">
        <v>16.937500000000011</v>
      </c>
      <c r="AX56" s="2">
        <v>15.54003768375159</v>
      </c>
      <c r="AY56" s="2">
        <v>17.074255228514609</v>
      </c>
      <c r="AZ56" s="2">
        <v>17.106060534247359</v>
      </c>
      <c r="BA56" s="2">
        <v>17.27816006452171</v>
      </c>
      <c r="BB56" s="2">
        <v>18.33654340691362</v>
      </c>
      <c r="BC56" s="2">
        <v>18.58777777777777</v>
      </c>
      <c r="BD56" s="2">
        <v>17.93503449478488</v>
      </c>
      <c r="BE56" s="2">
        <v>18.45339619765382</v>
      </c>
      <c r="BF56" s="2">
        <v>18.345473102987309</v>
      </c>
      <c r="BG56" s="2">
        <v>18.27682954723878</v>
      </c>
      <c r="BH56" s="2">
        <v>17.875607412537551</v>
      </c>
      <c r="BI56" s="2">
        <v>17.864787327611211</v>
      </c>
      <c r="BJ56" s="2">
        <v>18.38512500132973</v>
      </c>
      <c r="BK56" s="2">
        <v>17.557539256344882</v>
      </c>
      <c r="BL56" s="2">
        <v>18.27410972619408</v>
      </c>
      <c r="BM56" s="2">
        <v>16.906823058950462</v>
      </c>
      <c r="BN56" s="2">
        <v>19.09231605690125</v>
      </c>
      <c r="BO56" s="2">
        <v>18.68241107353829</v>
      </c>
      <c r="BP56" s="2">
        <v>19.163495413888661</v>
      </c>
      <c r="BQ56" s="2">
        <v>19.353742119628329</v>
      </c>
      <c r="BR56" s="2">
        <v>21.01892372792739</v>
      </c>
      <c r="BS56" s="2">
        <v>22.4023537066378</v>
      </c>
      <c r="BT56" s="2">
        <v>22.325658504964391</v>
      </c>
      <c r="BU56" s="2">
        <v>22.665555555555549</v>
      </c>
      <c r="BV56" s="2">
        <v>22.703223930553939</v>
      </c>
      <c r="BW56" s="2">
        <v>23.00184148766742</v>
      </c>
      <c r="BX56" s="2">
        <v>23.64728933137788</v>
      </c>
      <c r="BY56" s="2">
        <v>24.277622214693551</v>
      </c>
      <c r="BZ56" s="2">
        <v>23.964275457826691</v>
      </c>
      <c r="CA56" s="2"/>
      <c r="CB56" s="2">
        <f t="shared" si="0"/>
        <v>21.65111111111111</v>
      </c>
    </row>
    <row r="57" spans="1:80" x14ac:dyDescent="0.45">
      <c r="A57" t="s">
        <v>179</v>
      </c>
      <c r="B57">
        <v>191000</v>
      </c>
      <c r="C57">
        <v>668000</v>
      </c>
      <c r="D57" s="2">
        <v>15</v>
      </c>
      <c r="E57" s="2">
        <v>18.753190867037471</v>
      </c>
      <c r="F57" s="2">
        <v>18.978565496631351</v>
      </c>
      <c r="G57" s="2">
        <v>15.81617076737882</v>
      </c>
      <c r="H57" s="2">
        <v>11.86223802218694</v>
      </c>
      <c r="I57" s="2">
        <v>14.288733025632281</v>
      </c>
      <c r="J57" s="2">
        <v>13.62145231282244</v>
      </c>
      <c r="K57" s="2">
        <v>11.49399224640527</v>
      </c>
      <c r="L57" s="2">
        <v>11.19413243050659</v>
      </c>
      <c r="M57" s="2">
        <v>13.01134600412807</v>
      </c>
      <c r="N57" s="2">
        <v>13.281190367675221</v>
      </c>
      <c r="O57" s="2">
        <v>11.84016226195253</v>
      </c>
      <c r="P57" s="2">
        <v>13.625</v>
      </c>
      <c r="Q57" s="2">
        <v>12.40603788519986</v>
      </c>
      <c r="R57" s="2">
        <v>11.27450184086449</v>
      </c>
      <c r="S57" s="2">
        <v>11.802331998493919</v>
      </c>
      <c r="T57" s="2">
        <v>12.69556028265333</v>
      </c>
      <c r="U57" s="2">
        <v>13.28681429919021</v>
      </c>
      <c r="V57" s="2">
        <v>14.942527649253391</v>
      </c>
      <c r="W57" s="2">
        <v>15.895480872373209</v>
      </c>
      <c r="X57" s="2">
        <v>15.77693971604654</v>
      </c>
      <c r="Y57" s="2">
        <v>15.8023230921433</v>
      </c>
      <c r="Z57" s="2">
        <v>14.86335762946919</v>
      </c>
      <c r="AA57" s="2">
        <v>12.53741969084815</v>
      </c>
      <c r="AB57" s="2">
        <v>12.595844404899459</v>
      </c>
      <c r="AC57" s="2">
        <v>13.566885566767221</v>
      </c>
      <c r="AD57" s="2">
        <v>13.491269409270931</v>
      </c>
      <c r="AE57" s="2">
        <v>16.431323070580529</v>
      </c>
      <c r="AF57" s="2">
        <v>16.742003622931861</v>
      </c>
      <c r="AG57" s="2">
        <v>17.540707977860919</v>
      </c>
      <c r="AH57" s="2">
        <v>18.024163242244761</v>
      </c>
      <c r="AI57" s="2">
        <v>18.078451731065051</v>
      </c>
      <c r="AJ57" s="2">
        <v>18.630902138853621</v>
      </c>
      <c r="AK57" s="2">
        <v>17.690649438222781</v>
      </c>
      <c r="AL57" s="2">
        <v>13.45613765240765</v>
      </c>
      <c r="AM57" s="2">
        <v>12.90579839113745</v>
      </c>
      <c r="AN57" s="2">
        <v>13.64827386819222</v>
      </c>
      <c r="AO57" s="2">
        <v>15.130020399219919</v>
      </c>
      <c r="AP57" s="2">
        <v>14.43160445540779</v>
      </c>
      <c r="AQ57" s="2">
        <v>13.94317857348598</v>
      </c>
      <c r="AR57" s="2">
        <v>14.889378038867649</v>
      </c>
      <c r="AS57" s="2">
        <v>17.38435537685832</v>
      </c>
      <c r="AT57" s="2">
        <v>17.664732220600879</v>
      </c>
      <c r="AU57" s="2">
        <v>15.13639535091465</v>
      </c>
      <c r="AV57" s="2">
        <v>17.254871648818799</v>
      </c>
      <c r="AW57" s="2">
        <v>15.91176737608083</v>
      </c>
      <c r="AX57" s="2">
        <v>14.70126853313066</v>
      </c>
      <c r="AY57" s="2">
        <v>17.504744808363881</v>
      </c>
      <c r="AZ57" s="2">
        <v>17.403409411811989</v>
      </c>
      <c r="BA57" s="2">
        <v>17.39816766536466</v>
      </c>
      <c r="BB57" s="2">
        <v>19.572452869296349</v>
      </c>
      <c r="BC57" s="2">
        <v>18.73434769007579</v>
      </c>
      <c r="BD57" s="2">
        <v>16.719169171376979</v>
      </c>
      <c r="BE57" s="2">
        <v>18.074738754438201</v>
      </c>
      <c r="BF57" s="2">
        <v>17.704061140656119</v>
      </c>
      <c r="BG57" s="2">
        <v>18.205464348819849</v>
      </c>
      <c r="BH57" s="2">
        <v>18.550000512059331</v>
      </c>
      <c r="BI57" s="2">
        <v>17.20315169843645</v>
      </c>
      <c r="BJ57" s="2">
        <v>17.5835835780778</v>
      </c>
      <c r="BK57" s="2">
        <v>17.626125876193939</v>
      </c>
      <c r="BL57" s="2">
        <v>17.551701285093952</v>
      </c>
      <c r="BM57" s="2">
        <v>16.661999999999999</v>
      </c>
      <c r="BN57" s="2">
        <v>17.80541837754528</v>
      </c>
      <c r="BO57" s="2">
        <v>18.098841407854909</v>
      </c>
      <c r="BP57" s="2">
        <v>18.130186603646699</v>
      </c>
      <c r="BQ57" s="2">
        <v>18.929143092807529</v>
      </c>
      <c r="BR57" s="2">
        <v>20.481836455631619</v>
      </c>
      <c r="BS57" s="2">
        <v>21.687064851755391</v>
      </c>
      <c r="BT57" s="2">
        <v>21.323642005436579</v>
      </c>
      <c r="BU57" s="2">
        <v>21.868888381345101</v>
      </c>
      <c r="BV57" s="2">
        <v>21.346196545047871</v>
      </c>
      <c r="BW57" s="2">
        <v>21.35748503645506</v>
      </c>
      <c r="BX57" s="2">
        <v>19.617886912469281</v>
      </c>
      <c r="BY57" s="2">
        <v>19.834379994213851</v>
      </c>
      <c r="BZ57" s="2">
        <v>19.746118141174371</v>
      </c>
      <c r="CA57" s="2"/>
      <c r="CB57" s="2">
        <f t="shared" si="0"/>
        <v>19.572452869296349</v>
      </c>
    </row>
    <row r="59" spans="1:80" x14ac:dyDescent="0.45">
      <c r="D59" s="3" t="str">
        <f>D32</f>
        <v>2025</v>
      </c>
      <c r="E59" s="3" t="str">
        <f t="shared" ref="E59:BP59" si="1">E32</f>
        <v>2024</v>
      </c>
      <c r="F59" s="3" t="str">
        <f t="shared" si="1"/>
        <v>2023</v>
      </c>
      <c r="G59" s="3" t="str">
        <f t="shared" si="1"/>
        <v>2022</v>
      </c>
      <c r="H59" s="3" t="str">
        <f t="shared" si="1"/>
        <v>2021</v>
      </c>
      <c r="I59" s="3" t="str">
        <f t="shared" si="1"/>
        <v>2020</v>
      </c>
      <c r="J59" s="3" t="str">
        <f t="shared" si="1"/>
        <v>2019</v>
      </c>
      <c r="K59" s="3" t="str">
        <f t="shared" si="1"/>
        <v>2018</v>
      </c>
      <c r="L59" s="3" t="str">
        <f t="shared" si="1"/>
        <v>2017</v>
      </c>
      <c r="M59" s="3" t="str">
        <f t="shared" si="1"/>
        <v>2016</v>
      </c>
      <c r="N59" s="3" t="str">
        <f t="shared" si="1"/>
        <v>2015</v>
      </c>
      <c r="O59" s="3" t="str">
        <f t="shared" si="1"/>
        <v>2014</v>
      </c>
      <c r="P59" s="3" t="str">
        <f t="shared" si="1"/>
        <v>2013</v>
      </c>
      <c r="Q59" s="3" t="str">
        <f t="shared" si="1"/>
        <v>2012</v>
      </c>
      <c r="R59" s="3" t="str">
        <f t="shared" si="1"/>
        <v>2011</v>
      </c>
      <c r="S59" s="3" t="str">
        <f t="shared" si="1"/>
        <v>2010</v>
      </c>
      <c r="T59" s="3" t="str">
        <f t="shared" si="1"/>
        <v>2009</v>
      </c>
      <c r="U59" s="3" t="str">
        <f t="shared" si="1"/>
        <v>2008</v>
      </c>
      <c r="V59" s="3" t="str">
        <f t="shared" si="1"/>
        <v>2007</v>
      </c>
      <c r="W59" s="3" t="str">
        <f t="shared" si="1"/>
        <v>2006</v>
      </c>
      <c r="X59" s="3" t="str">
        <f t="shared" si="1"/>
        <v>2005</v>
      </c>
      <c r="Y59" s="3" t="str">
        <f t="shared" si="1"/>
        <v>2004</v>
      </c>
      <c r="Z59" s="3" t="str">
        <f t="shared" si="1"/>
        <v>2003</v>
      </c>
      <c r="AA59" s="3" t="str">
        <f t="shared" si="1"/>
        <v>2002</v>
      </c>
      <c r="AB59" s="3" t="str">
        <f t="shared" si="1"/>
        <v>2001</v>
      </c>
      <c r="AC59" s="3" t="str">
        <f t="shared" si="1"/>
        <v>2000</v>
      </c>
      <c r="AD59" s="3" t="str">
        <f t="shared" si="1"/>
        <v>1999</v>
      </c>
      <c r="AE59" s="3" t="str">
        <f t="shared" si="1"/>
        <v>1998</v>
      </c>
      <c r="AF59" s="3" t="str">
        <f t="shared" si="1"/>
        <v>1997</v>
      </c>
      <c r="AG59" s="3" t="str">
        <f t="shared" si="1"/>
        <v>1996</v>
      </c>
      <c r="AH59" s="3" t="str">
        <f t="shared" si="1"/>
        <v>1995</v>
      </c>
      <c r="AI59" s="3" t="str">
        <f t="shared" si="1"/>
        <v>1994</v>
      </c>
      <c r="AJ59" s="3" t="str">
        <f t="shared" si="1"/>
        <v>1993</v>
      </c>
      <c r="AK59" s="3" t="str">
        <f t="shared" si="1"/>
        <v>1992</v>
      </c>
      <c r="AL59" s="3" t="str">
        <f t="shared" si="1"/>
        <v>1991</v>
      </c>
      <c r="AM59" s="3" t="str">
        <f t="shared" si="1"/>
        <v>1990</v>
      </c>
      <c r="AN59" s="3" t="str">
        <f t="shared" si="1"/>
        <v>1989</v>
      </c>
      <c r="AO59" s="3" t="str">
        <f t="shared" si="1"/>
        <v>1988</v>
      </c>
      <c r="AP59" s="3" t="str">
        <f t="shared" si="1"/>
        <v>1987</v>
      </c>
      <c r="AQ59" s="3" t="str">
        <f t="shared" si="1"/>
        <v>1986</v>
      </c>
      <c r="AR59" s="3" t="str">
        <f t="shared" si="1"/>
        <v>1985</v>
      </c>
      <c r="AS59" s="3" t="str">
        <f t="shared" si="1"/>
        <v>1984</v>
      </c>
      <c r="AT59" s="3" t="str">
        <f t="shared" si="1"/>
        <v>1983</v>
      </c>
      <c r="AU59" s="3" t="str">
        <f t="shared" si="1"/>
        <v>1982</v>
      </c>
      <c r="AV59" s="3" t="str">
        <f t="shared" si="1"/>
        <v>1981</v>
      </c>
      <c r="AW59" s="3" t="str">
        <f t="shared" si="1"/>
        <v>1980</v>
      </c>
      <c r="AX59" s="3" t="str">
        <f t="shared" si="1"/>
        <v>1979</v>
      </c>
      <c r="AY59" s="3" t="str">
        <f t="shared" si="1"/>
        <v>1978</v>
      </c>
      <c r="AZ59" s="3" t="str">
        <f t="shared" si="1"/>
        <v>1977</v>
      </c>
      <c r="BA59" s="3" t="str">
        <f t="shared" si="1"/>
        <v>1976</v>
      </c>
      <c r="BB59" s="3" t="str">
        <f t="shared" si="1"/>
        <v>1975</v>
      </c>
      <c r="BC59" s="3" t="str">
        <f t="shared" si="1"/>
        <v>1974</v>
      </c>
      <c r="BD59" s="3" t="str">
        <f t="shared" si="1"/>
        <v>1973</v>
      </c>
      <c r="BE59" s="3" t="str">
        <f t="shared" si="1"/>
        <v>1972</v>
      </c>
      <c r="BF59" s="3" t="str">
        <f t="shared" si="1"/>
        <v>1971</v>
      </c>
      <c r="BG59" s="3" t="str">
        <f t="shared" si="1"/>
        <v>1970</v>
      </c>
      <c r="BH59" s="3" t="str">
        <f t="shared" si="1"/>
        <v>1969</v>
      </c>
      <c r="BI59" s="3" t="str">
        <f t="shared" si="1"/>
        <v>1968</v>
      </c>
      <c r="BJ59" s="3" t="str">
        <f t="shared" si="1"/>
        <v>1967</v>
      </c>
      <c r="BK59" s="3" t="str">
        <f t="shared" si="1"/>
        <v>1966</v>
      </c>
      <c r="BL59" s="3" t="str">
        <f t="shared" si="1"/>
        <v>1965</v>
      </c>
      <c r="BM59" s="3" t="str">
        <f t="shared" si="1"/>
        <v>1964</v>
      </c>
      <c r="BN59" s="3" t="str">
        <f t="shared" si="1"/>
        <v>1963</v>
      </c>
      <c r="BO59" s="3" t="str">
        <f t="shared" si="1"/>
        <v>1962</v>
      </c>
      <c r="BP59" s="3" t="str">
        <f t="shared" si="1"/>
        <v>1961</v>
      </c>
      <c r="BQ59" s="3" t="str">
        <f t="shared" ref="BQ59:CA59" si="2">BQ32</f>
        <v>1960</v>
      </c>
      <c r="BR59" s="3" t="str">
        <f t="shared" si="2"/>
        <v>1959</v>
      </c>
      <c r="BS59" s="3" t="str">
        <f t="shared" si="2"/>
        <v>1958</v>
      </c>
      <c r="BT59" s="3" t="str">
        <f t="shared" si="2"/>
        <v>1957</v>
      </c>
      <c r="BU59" s="3" t="str">
        <f t="shared" si="2"/>
        <v>1956</v>
      </c>
      <c r="BV59" s="3" t="str">
        <f t="shared" si="2"/>
        <v>1955</v>
      </c>
      <c r="BW59" s="3" t="str">
        <f t="shared" si="2"/>
        <v>1954</v>
      </c>
      <c r="BX59" s="3" t="str">
        <f t="shared" si="2"/>
        <v>1953</v>
      </c>
      <c r="BY59" s="3" t="str">
        <f t="shared" si="2"/>
        <v>1952</v>
      </c>
      <c r="BZ59" s="3" t="str">
        <f t="shared" si="2"/>
        <v>1951</v>
      </c>
      <c r="CA59" s="3" t="str">
        <f t="shared" si="2"/>
        <v>1950</v>
      </c>
    </row>
    <row r="60" spans="1:80" x14ac:dyDescent="0.45">
      <c r="D60" s="4" cm="1">
        <f t="array" aca="1" ref="D60" ca="1">IF(AND(D32&lt;=$D$2,D32&gt;=$C$2),OFFSET(D$32,MATCH($A$2,$A$33:$A$57,0),0),_xleta.N/A())</f>
        <v>0.6</v>
      </c>
      <c r="E60" s="4" cm="1">
        <f t="array" aca="1" ref="E60" ca="1">IF(AND(E32&lt;=$D$2,E32&gt;=$C$2),OFFSET(E$32,MATCH($A$2,$A$33:$A$57,0),0),_xleta.N/A())</f>
        <v>0.65580326792764865</v>
      </c>
      <c r="F60" s="4" cm="1">
        <f t="array" aca="1" ref="F60" ca="1">IF(AND(F32&lt;=$D$2,F32&gt;=$C$2),OFFSET(F$32,MATCH($A$2,$A$33:$A$57,0),0),_xleta.N/A())</f>
        <v>1.152864113743107</v>
      </c>
      <c r="G60" s="4" cm="1">
        <f t="array" aca="1" ref="G60" ca="1">IF(AND(G32&lt;=$D$2,G32&gt;=$C$2),OFFSET(G$32,MATCH($A$2,$A$33:$A$57,0),0),_xleta.N/A())</f>
        <v>1.397521331857694</v>
      </c>
      <c r="H60" s="4" cm="1">
        <f t="array" aca="1" ref="H60" ca="1">IF(AND(H32&lt;=$D$2,H32&gt;=$C$2),OFFSET(H$32,MATCH($A$2,$A$33:$A$57,0),0),_xleta.N/A())</f>
        <v>0.72340894846349968</v>
      </c>
      <c r="I60" s="4" cm="1">
        <f t="array" aca="1" ref="I60" ca="1">IF(AND(I32&lt;=$D$2,I32&gt;=$C$2),OFFSET(I$32,MATCH($A$2,$A$33:$A$57,0),0),_xleta.N/A())</f>
        <v>8.2609663181253123E-2</v>
      </c>
      <c r="J60" s="4" cm="1">
        <f t="array" aca="1" ref="J60" ca="1">IF(AND(J32&lt;=$D$2,J32&gt;=$C$2),OFFSET(J$32,MATCH($A$2,$A$33:$A$57,0),0),_xleta.N/A())</f>
        <v>-0.31688066831214678</v>
      </c>
      <c r="K60" s="4" cm="1">
        <f t="array" aca="1" ref="K60" ca="1">IF(AND(K32&lt;=$D$2,K32&gt;=$C$2),OFFSET(K$32,MATCH($A$2,$A$33:$A$57,0),0),_xleta.N/A())</f>
        <v>0.1153896098408986</v>
      </c>
      <c r="L60" s="4" cm="1">
        <f t="array" aca="1" ref="L60" ca="1">IF(AND(L32&lt;=$D$2,L32&gt;=$C$2),OFFSET(L$32,MATCH($A$2,$A$33:$A$57,0),0),_xleta.N/A())</f>
        <v>0.21214857186082409</v>
      </c>
      <c r="M60" s="4" cm="1">
        <f t="array" aca="1" ref="M60" ca="1">IF(AND(M32&lt;=$D$2,M32&gt;=$C$2),OFFSET(M$32,MATCH($A$2,$A$33:$A$57,0),0),_xleta.N/A())</f>
        <v>-0.24910051293933549</v>
      </c>
      <c r="N60" s="4" cm="1">
        <f t="array" aca="1" ref="N60" ca="1">IF(AND(N32&lt;=$D$2,N32&gt;=$C$2),OFFSET(N$32,MATCH($A$2,$A$33:$A$57,0),0),_xleta.N/A())</f>
        <v>-2.7198864486658699E-2</v>
      </c>
      <c r="O60" s="4" cm="1">
        <f t="array" aca="1" ref="O60" ca="1">IF(AND(O32&lt;=$D$2,O32&gt;=$C$2),OFFSET(O$32,MATCH($A$2,$A$33:$A$57,0),0),_xleta.N/A())</f>
        <v>1.12174770522088</v>
      </c>
      <c r="P60" s="4" cm="1">
        <f t="array" aca="1" ref="P60" ca="1">IF(AND(P32&lt;=$D$2,P32&gt;=$C$2),OFFSET(P$32,MATCH($A$2,$A$33:$A$57,0),0),_xleta.N/A())</f>
        <v>-0.54286108531172883</v>
      </c>
      <c r="Q60" s="4" cm="1">
        <f t="array" aca="1" ref="Q60" ca="1">IF(AND(Q32&lt;=$D$2,Q32&gt;=$C$2),OFFSET(Q$32,MATCH($A$2,$A$33:$A$57,0),0),_xleta.N/A())</f>
        <v>-0.59107021946256144</v>
      </c>
      <c r="R60" s="4" cm="1">
        <f t="array" aca="1" ref="R60" ca="1">IF(AND(R32&lt;=$D$2,R32&gt;=$C$2),OFFSET(R$32,MATCH($A$2,$A$33:$A$57,0),0),_xleta.N/A())</f>
        <v>-0.41873075296372519</v>
      </c>
      <c r="S60" s="4" cm="1">
        <f t="array" aca="1" ref="S60" ca="1">IF(AND(S32&lt;=$D$2,S32&gt;=$C$2),OFFSET(S$32,MATCH($A$2,$A$33:$A$57,0),0),_xleta.N/A())</f>
        <v>-0.4504225997243515</v>
      </c>
      <c r="T60" s="4" cm="1">
        <f t="array" aca="1" ref="T60" ca="1">IF(AND(T32&lt;=$D$2,T32&gt;=$C$2),OFFSET(T$32,MATCH($A$2,$A$33:$A$57,0),0),_xleta.N/A())</f>
        <v>-0.51121364294411964</v>
      </c>
      <c r="U60" s="4" cm="1">
        <f t="array" aca="1" ref="U60" ca="1">IF(AND(U32&lt;=$D$2,U32&gt;=$C$2),OFFSET(U$32,MATCH($A$2,$A$33:$A$57,0),0),_xleta.N/A())</f>
        <v>-0.60253845925559535</v>
      </c>
      <c r="V60" s="4" cm="1">
        <f t="array" aca="1" ref="V60" ca="1">IF(AND(V32&lt;=$D$2,V32&gt;=$C$2),OFFSET(V$32,MATCH($A$2,$A$33:$A$57,0),0),_xleta.N/A())</f>
        <v>-0.55303891410642914</v>
      </c>
      <c r="W60" s="4" cm="1">
        <f t="array" aca="1" ref="W60" ca="1">IF(AND(W32&lt;=$D$2,W32&gt;=$C$2),OFFSET(W$32,MATCH($A$2,$A$33:$A$57,0),0),_xleta.N/A())</f>
        <v>-0.71062539162610217</v>
      </c>
      <c r="X60" s="4" cm="1">
        <f t="array" aca="1" ref="X60" ca="1">IF(AND(X32&lt;=$D$2,X32&gt;=$C$2),OFFSET(X$32,MATCH($A$2,$A$33:$A$57,0),0),_xleta.N/A())</f>
        <v>-0.99528465827210189</v>
      </c>
      <c r="Y60" s="4" cm="1">
        <f t="array" aca="1" ref="Y60" ca="1">IF(AND(Y32&lt;=$D$2,Y32&gt;=$C$2),OFFSET(Y$32,MATCH($A$2,$A$33:$A$57,0),0),_xleta.N/A())</f>
        <v>-0.98390855871561189</v>
      </c>
      <c r="Z60" s="4" cm="1">
        <f t="array" aca="1" ref="Z60" ca="1">IF(AND(Z32&lt;=$D$2,Z32&gt;=$C$2),OFFSET(Z$32,MATCH($A$2,$A$33:$A$57,0),0),_xleta.N/A())</f>
        <v>-1.034892952451133</v>
      </c>
      <c r="AA60" s="4" cm="1">
        <f t="array" aca="1" ref="AA60" ca="1">IF(AND(AA32&lt;=$D$2,AA32&gt;=$C$2),OFFSET(AA$32,MATCH($A$2,$A$33:$A$57,0),0),_xleta.N/A())</f>
        <v>-1.1303514096691689</v>
      </c>
      <c r="AB60" s="4" cm="1">
        <f t="array" aca="1" ref="AB60" ca="1">IF(AND(AB32&lt;=$D$2,AB32&gt;=$C$2),OFFSET(AB$32,MATCH($A$2,$A$33:$A$57,0),0),_xleta.N/A())</f>
        <v>-0.36861798759867009</v>
      </c>
      <c r="AC60" s="4" cm="1">
        <f t="array" aca="1" ref="AC60" ca="1">IF(AND(AC32&lt;=$D$2,AC32&gt;=$C$2),OFFSET(AC$32,MATCH($A$2,$A$33:$A$57,0),0),_xleta.N/A())</f>
        <v>2.2664940850941218E-2</v>
      </c>
      <c r="AD60" s="4" cm="1">
        <f t="array" aca="1" ref="AD60" ca="1">IF(AND(AD32&lt;=$D$2,AD32&gt;=$C$2),OFFSET(AD$32,MATCH($A$2,$A$33:$A$57,0),0),_xleta.N/A())</f>
        <v>0.1028434716182305</v>
      </c>
      <c r="AE60" s="4" cm="1">
        <f t="array" aca="1" ref="AE60" ca="1">IF(AND(AE32&lt;=$D$2,AE32&gt;=$C$2),OFFSET(AE$32,MATCH($A$2,$A$33:$A$57,0),0),_xleta.N/A())</f>
        <v>0.15341860315510061</v>
      </c>
      <c r="AF60" s="4" cm="1">
        <f t="array" aca="1" ref="AF60" ca="1">IF(AND(AF32&lt;=$D$2,AF32&gt;=$C$2),OFFSET(AF$32,MATCH($A$2,$A$33:$A$57,0),0),_xleta.N/A())</f>
        <v>0.44642020686069322</v>
      </c>
      <c r="AG60" s="4" cm="1">
        <f t="array" aca="1" ref="AG60" ca="1">IF(AND(AG32&lt;=$D$2,AG32&gt;=$C$2),OFFSET(AG$32,MATCH($A$2,$A$33:$A$57,0),0),_xleta.N/A())</f>
        <v>0.42578277974444151</v>
      </c>
      <c r="AH60" s="4" cm="1">
        <f t="array" aca="1" ref="AH60" ca="1">IF(AND(AH32&lt;=$D$2,AH32&gt;=$C$2),OFFSET(AH$32,MATCH($A$2,$A$33:$A$57,0),0),_xleta.N/A())</f>
        <v>0.69188551786821628</v>
      </c>
      <c r="AI60" s="4" cm="1">
        <f t="array" aca="1" ref="AI60" ca="1">IF(AND(AI32&lt;=$D$2,AI32&gt;=$C$2),OFFSET(AI$32,MATCH($A$2,$A$33:$A$57,0),0),_xleta.N/A())</f>
        <v>0.84820313637860567</v>
      </c>
      <c r="AJ60" s="4" cm="1">
        <f t="array" aca="1" ref="AJ60" ca="1">IF(AND(AJ32&lt;=$D$2,AJ32&gt;=$C$2),OFFSET(AJ$32,MATCH($A$2,$A$33:$A$57,0),0),_xleta.N/A())</f>
        <v>1.091453774449624</v>
      </c>
      <c r="AK60" s="4" cm="1">
        <f t="array" aca="1" ref="AK60" ca="1">IF(AND(AK32&lt;=$D$2,AK32&gt;=$C$2),OFFSET(AK$32,MATCH($A$2,$A$33:$A$57,0),0),_xleta.N/A())</f>
        <v>1.159673275591093</v>
      </c>
      <c r="AL60" s="4" cm="1">
        <f t="array" aca="1" ref="AL60" ca="1">IF(AND(AL32&lt;=$D$2,AL32&gt;=$C$2),OFFSET(AL$32,MATCH($A$2,$A$33:$A$57,0),0),_xleta.N/A())</f>
        <v>0.78149807362417967</v>
      </c>
      <c r="AM60" s="4" cm="1">
        <f t="array" aca="1" ref="AM60" ca="1">IF(AND(AM32&lt;=$D$2,AM32&gt;=$C$2),OFFSET(AM$32,MATCH($A$2,$A$33:$A$57,0),0),_xleta.N/A())</f>
        <v>0.30005588387623788</v>
      </c>
      <c r="AN60" s="4" cm="1">
        <f t="array" aca="1" ref="AN60" ca="1">IF(AND(AN32&lt;=$D$2,AN32&gt;=$C$2),OFFSET(AN$32,MATCH($A$2,$A$33:$A$57,0),0),_xleta.N/A())</f>
        <v>0.561803586751771</v>
      </c>
      <c r="AO60" s="4" cm="1">
        <f t="array" aca="1" ref="AO60" ca="1">IF(AND(AO32&lt;=$D$2,AO32&gt;=$C$2),OFFSET(AO$32,MATCH($A$2,$A$33:$A$57,0),0),_xleta.N/A())</f>
        <v>0.65469954227899207</v>
      </c>
      <c r="AP60" s="4" cm="1">
        <f t="array" aca="1" ref="AP60" ca="1">IF(AND(AP32&lt;=$D$2,AP32&gt;=$C$2),OFFSET(AP$32,MATCH($A$2,$A$33:$A$57,0),0),_xleta.N/A())</f>
        <v>0.63904701400289221</v>
      </c>
      <c r="AQ60" s="4" cm="1">
        <f t="array" aca="1" ref="AQ60" ca="1">IF(AND(AQ32&lt;=$D$2,AQ32&gt;=$C$2),OFFSET(AQ$32,MATCH($A$2,$A$33:$A$57,0),0),_xleta.N/A())</f>
        <v>0.64068335069838223</v>
      </c>
      <c r="AR60" s="4" cm="1">
        <f t="array" aca="1" ref="AR60" ca="1">IF(AND(AR32&lt;=$D$2,AR32&gt;=$C$2),OFFSET(AR$32,MATCH($A$2,$A$33:$A$57,0),0),_xleta.N/A())</f>
        <v>0.69900504756542281</v>
      </c>
      <c r="AS60" s="4" cm="1">
        <f t="array" aca="1" ref="AS60" ca="1">IF(AND(AS32&lt;=$D$2,AS32&gt;=$C$2),OFFSET(AS$32,MATCH($A$2,$A$33:$A$57,0),0),_xleta.N/A())</f>
        <v>0.74279300238496215</v>
      </c>
      <c r="AT60" s="4" cm="1">
        <f t="array" aca="1" ref="AT60" ca="1">IF(AND(AT32&lt;=$D$2,AT32&gt;=$C$2),OFFSET(AT$32,MATCH($A$2,$A$33:$A$57,0),0),_xleta.N/A())</f>
        <v>0.77741777035348536</v>
      </c>
      <c r="AU60" s="4" cm="1">
        <f t="array" aca="1" ref="AU60" ca="1">IF(AND(AU32&lt;=$D$2,AU32&gt;=$C$2),OFFSET(AU$32,MATCH($A$2,$A$33:$A$57,0),0),_xleta.N/A())</f>
        <v>0.98620802677913988</v>
      </c>
      <c r="AV60" s="4" cm="1">
        <f t="array" aca="1" ref="AV60" ca="1">IF(AND(AV32&lt;=$D$2,AV32&gt;=$C$2),OFFSET(AV$32,MATCH($A$2,$A$33:$A$57,0),0),_xleta.N/A())</f>
        <v>1.1661812383686541</v>
      </c>
      <c r="AW60" s="4" cm="1">
        <f t="array" aca="1" ref="AW60" ca="1">IF(AND(AW32&lt;=$D$2,AW32&gt;=$C$2),OFFSET(AW$32,MATCH($A$2,$A$33:$A$57,0),0),_xleta.N/A())</f>
        <v>1.137278237744169</v>
      </c>
      <c r="AX60" s="4" cm="1">
        <f t="array" aca="1" ref="AX60" ca="1">IF(AND(AX32&lt;=$D$2,AX32&gt;=$C$2),OFFSET(AX$32,MATCH($A$2,$A$33:$A$57,0),0),_xleta.N/A())</f>
        <v>1.279309708211287</v>
      </c>
      <c r="AY60" s="4" cm="1">
        <f t="array" aca="1" ref="AY60" ca="1">IF(AND(AY32&lt;=$D$2,AY32&gt;=$C$2),OFFSET(AY$32,MATCH($A$2,$A$33:$A$57,0),0),_xleta.N/A())</f>
        <v>1.6442255583405729</v>
      </c>
      <c r="AZ60" s="4" cm="1">
        <f t="array" aca="1" ref="AZ60" ca="1">IF(AND(AZ32&lt;=$D$2,AZ32&gt;=$C$2),OFFSET(AZ$32,MATCH($A$2,$A$33:$A$57,0),0),_xleta.N/A())</f>
        <v>1.682401766387047</v>
      </c>
      <c r="BA60" s="4" cm="1">
        <f t="array" aca="1" ref="BA60" ca="1">IF(AND(BA32&lt;=$D$2,BA32&gt;=$C$2),OFFSET(BA$32,MATCH($A$2,$A$33:$A$57,0),0),_xleta.N/A())</f>
        <v>2.0001015456367308</v>
      </c>
      <c r="BB60" s="4" cm="1">
        <f t="array" aca="1" ref="BB60" ca="1">IF(AND(BB32&lt;=$D$2,BB32&gt;=$C$2),OFFSET(BB$32,MATCH($A$2,$A$33:$A$57,0),0),_xleta.N/A())</f>
        <v>2.409657429642857</v>
      </c>
      <c r="BC60" s="4" cm="1">
        <f t="array" aca="1" ref="BC60" ca="1">IF(AND(BC32&lt;=$D$2,BC32&gt;=$C$2),OFFSET(BC$32,MATCH($A$2,$A$33:$A$57,0),0),_xleta.N/A())</f>
        <v>2.5824093807404291</v>
      </c>
      <c r="BD60" s="4" cm="1">
        <f t="array" aca="1" ref="BD60" ca="1">IF(AND(BD32&lt;=$D$2,BD32&gt;=$C$2),OFFSET(BD$32,MATCH($A$2,$A$33:$A$57,0),0),_xleta.N/A())</f>
        <v>2.6009417400235328</v>
      </c>
      <c r="BE60" s="4" cm="1">
        <f t="array" aca="1" ref="BE60" ca="1">IF(AND(BE32&lt;=$D$2,BE32&gt;=$C$2),OFFSET(BE$32,MATCH($A$2,$A$33:$A$57,0),0),_xleta.N/A())</f>
        <v>2.75960161257531</v>
      </c>
      <c r="BF60" s="4" cm="1">
        <f t="array" aca="1" ref="BF60" ca="1">IF(AND(BF32&lt;=$D$2,BF32&gt;=$C$2),OFFSET(BF$32,MATCH($A$2,$A$33:$A$57,0),0),_xleta.N/A())</f>
        <v>2.8722675672168099</v>
      </c>
      <c r="BG60" s="4" cm="1">
        <f t="array" aca="1" ref="BG60" ca="1">IF(AND(BG32&lt;=$D$2,BG32&gt;=$C$2),OFFSET(BG$32,MATCH($A$2,$A$33:$A$57,0),0),_xleta.N/A())</f>
        <v>2.6616071759772071</v>
      </c>
      <c r="BH60" s="4" cm="1">
        <f t="array" aca="1" ref="BH60" ca="1">IF(AND(BH32&lt;=$D$2,BH32&gt;=$C$2),OFFSET(BH$32,MATCH($A$2,$A$33:$A$57,0),0),_xleta.N/A())</f>
        <v>3.0182958398972581</v>
      </c>
      <c r="BI60" s="4" cm="1">
        <f t="array" aca="1" ref="BI60" ca="1">IF(AND(BI32&lt;=$D$2,BI32&gt;=$C$2),OFFSET(BI$32,MATCH($A$2,$A$33:$A$57,0),0),_xleta.N/A())</f>
        <v>2.9477018700570188</v>
      </c>
      <c r="BJ60" s="4" cm="1">
        <f t="array" aca="1" ref="BJ60" ca="1">IF(AND(BJ32&lt;=$D$2,BJ32&gt;=$C$2),OFFSET(BJ$32,MATCH($A$2,$A$33:$A$57,0),0),_xleta.N/A())</f>
        <v>2.721129686481782</v>
      </c>
      <c r="BK60" s="4" cm="1">
        <f t="array" aca="1" ref="BK60" ca="1">IF(AND(BK32&lt;=$D$2,BK32&gt;=$C$2),OFFSET(BK$32,MATCH($A$2,$A$33:$A$57,0),0),_xleta.N/A())</f>
        <v>2.5426998169310369</v>
      </c>
      <c r="BL60" s="4" cm="1">
        <f t="array" aca="1" ref="BL60" ca="1">IF(AND(BL32&lt;=$D$2,BL32&gt;=$C$2),OFFSET(BL$32,MATCH($A$2,$A$33:$A$57,0),0),_xleta.N/A())</f>
        <v>2.7435699544701699</v>
      </c>
      <c r="BM60" s="4" cm="1">
        <f t="array" aca="1" ref="BM60" ca="1">IF(AND(BM32&lt;=$D$2,BM32&gt;=$C$2),OFFSET(BM$32,MATCH($A$2,$A$33:$A$57,0),0),_xleta.N/A())</f>
        <v>1.561762787267613</v>
      </c>
      <c r="BN60" s="4" t="e" cm="1">
        <f t="array" aca="1" ref="BN60" ca="1">IF(AND(BN32&lt;=$D$2,BN32&gt;=$C$2),OFFSET(BN$32,MATCH($A$2,$A$33:$A$57,0),0),_xleta.N/A())</f>
        <v>#VALUE!</v>
      </c>
      <c r="BO60" s="4" t="e" cm="1">
        <f t="array" aca="1" ref="BO60" ca="1">IF(AND(BO32&lt;=$D$2,BO32&gt;=$C$2),OFFSET(BO$32,MATCH($A$2,$A$33:$A$57,0),0),_xleta.N/A())</f>
        <v>#VALUE!</v>
      </c>
      <c r="BP60" s="4" t="e" cm="1">
        <f t="array" aca="1" ref="BP60" ca="1">IF(AND(BP32&lt;=$D$2,BP32&gt;=$C$2),OFFSET(BP$32,MATCH($A$2,$A$33:$A$57,0),0),_xleta.N/A())</f>
        <v>#VALUE!</v>
      </c>
      <c r="BQ60" s="4" t="e" cm="1">
        <f t="array" aca="1" ref="BQ60" ca="1">IF(AND(BQ32&lt;=$D$2,BQ32&gt;=$C$2),OFFSET(BQ$32,MATCH($A$2,$A$33:$A$57,0),0),_xleta.N/A())</f>
        <v>#VALUE!</v>
      </c>
      <c r="BR60" s="4" t="e" cm="1">
        <f t="array" aca="1" ref="BR60" ca="1">IF(AND(BR32&lt;=$D$2,BR32&gt;=$C$2),OFFSET(BR$32,MATCH($A$2,$A$33:$A$57,0),0),_xleta.N/A())</f>
        <v>#VALUE!</v>
      </c>
      <c r="BS60" s="4" t="e" cm="1">
        <f t="array" aca="1" ref="BS60" ca="1">IF(AND(BS32&lt;=$D$2,BS32&gt;=$C$2),OFFSET(BS$32,MATCH($A$2,$A$33:$A$57,0),0),_xleta.N/A())</f>
        <v>#VALUE!</v>
      </c>
      <c r="BT60" s="4" t="e" cm="1">
        <f t="array" aca="1" ref="BT60" ca="1">IF(AND(BT32&lt;=$D$2,BT32&gt;=$C$2),OFFSET(BT$32,MATCH($A$2,$A$33:$A$57,0),0),_xleta.N/A())</f>
        <v>#VALUE!</v>
      </c>
      <c r="BU60" s="4" t="e" cm="1">
        <f t="array" aca="1" ref="BU60" ca="1">IF(AND(BU32&lt;=$D$2,BU32&gt;=$C$2),OFFSET(BU$32,MATCH($A$2,$A$33:$A$57,0),0),_xleta.N/A())</f>
        <v>#VALUE!</v>
      </c>
      <c r="BV60" s="4" t="e" cm="1">
        <f t="array" aca="1" ref="BV60" ca="1">IF(AND(BV32&lt;=$D$2,BV32&gt;=$C$2),OFFSET(BV$32,MATCH($A$2,$A$33:$A$57,0),0),_xleta.N/A())</f>
        <v>#VALUE!</v>
      </c>
      <c r="BW60" s="4" t="e" cm="1">
        <f t="array" aca="1" ref="BW60" ca="1">IF(AND(BW32&lt;=$D$2,BW32&gt;=$C$2),OFFSET(BW$32,MATCH($A$2,$A$33:$A$57,0),0),_xleta.N/A())</f>
        <v>#VALUE!</v>
      </c>
      <c r="BX60" s="4" t="e" cm="1">
        <f t="array" aca="1" ref="BX60" ca="1">IF(AND(BX32&lt;=$D$2,BX32&gt;=$C$2),OFFSET(BX$32,MATCH($A$2,$A$33:$A$57,0),0),_xleta.N/A())</f>
        <v>#VALUE!</v>
      </c>
      <c r="BY60" s="4" t="e" cm="1">
        <f t="array" aca="1" ref="BY60" ca="1">IF(AND(BY32&lt;=$D$2,BY32&gt;=$C$2),OFFSET(BY$32,MATCH($A$2,$A$33:$A$57,0),0),_xleta.N/A())</f>
        <v>#VALUE!</v>
      </c>
      <c r="BZ60" s="4" t="e" cm="1">
        <f t="array" aca="1" ref="BZ60" ca="1">IF(AND(BZ32&lt;=$D$2,BZ32&gt;=$C$2),OFFSET(BZ$32,MATCH($A$2,$A$33:$A$57,0),0),_xleta.N/A())</f>
        <v>#VALUE!</v>
      </c>
      <c r="CA60" s="4" t="e" cm="1">
        <f t="array" aca="1" ref="CA60" ca="1">IF(AND(CA32&lt;=$D$2,CA32&gt;=$C$2),OFFSET(CA$32,MATCH($A$2,$A$33:$A$57,0),0),_xleta.N/A())</f>
        <v>#VALUE!</v>
      </c>
    </row>
    <row r="61" spans="1:80" x14ac:dyDescent="0.45">
      <c r="D61">
        <v>2025</v>
      </c>
      <c r="E61">
        <v>2024</v>
      </c>
      <c r="F61">
        <v>2023</v>
      </c>
      <c r="G61">
        <v>2022</v>
      </c>
      <c r="H61">
        <v>2021</v>
      </c>
      <c r="I61">
        <v>2020</v>
      </c>
      <c r="J61">
        <v>2019</v>
      </c>
      <c r="K61">
        <v>2018</v>
      </c>
      <c r="L61">
        <v>2017</v>
      </c>
      <c r="M61">
        <v>2016</v>
      </c>
      <c r="N61">
        <v>2015</v>
      </c>
      <c r="O61">
        <v>2014</v>
      </c>
      <c r="P61">
        <v>2013</v>
      </c>
      <c r="Q61">
        <v>2012</v>
      </c>
      <c r="R61">
        <v>2011</v>
      </c>
      <c r="S61">
        <v>2010</v>
      </c>
      <c r="T61">
        <v>2009</v>
      </c>
      <c r="U61">
        <v>2008</v>
      </c>
      <c r="V61">
        <v>2007</v>
      </c>
      <c r="W61">
        <v>2006</v>
      </c>
      <c r="X61">
        <v>2005</v>
      </c>
      <c r="Y61">
        <v>2004</v>
      </c>
      <c r="Z61">
        <v>2003</v>
      </c>
      <c r="AA61">
        <v>2002</v>
      </c>
      <c r="AB61">
        <v>2001</v>
      </c>
      <c r="AC61">
        <v>2000</v>
      </c>
      <c r="AD61">
        <v>1999</v>
      </c>
      <c r="AE61">
        <v>1998</v>
      </c>
      <c r="AF61">
        <v>1997</v>
      </c>
      <c r="AG61">
        <v>1996</v>
      </c>
      <c r="AH61">
        <v>1995</v>
      </c>
      <c r="AI61">
        <v>1994</v>
      </c>
      <c r="AJ61">
        <v>1993</v>
      </c>
      <c r="AK61">
        <v>1992</v>
      </c>
      <c r="AL61">
        <v>1991</v>
      </c>
      <c r="AM61">
        <v>1990</v>
      </c>
      <c r="AN61">
        <v>1989</v>
      </c>
      <c r="AO61">
        <v>1988</v>
      </c>
      <c r="AP61">
        <v>1987</v>
      </c>
      <c r="AQ61">
        <v>1986</v>
      </c>
      <c r="AR61">
        <v>1985</v>
      </c>
      <c r="AS61">
        <v>1984</v>
      </c>
      <c r="AT61">
        <v>1983</v>
      </c>
      <c r="AU61">
        <v>1982</v>
      </c>
      <c r="AV61">
        <v>1981</v>
      </c>
      <c r="AW61">
        <v>1980</v>
      </c>
      <c r="AX61">
        <v>1979</v>
      </c>
      <c r="AY61">
        <v>1978</v>
      </c>
      <c r="AZ61">
        <v>1977</v>
      </c>
      <c r="BA61">
        <v>1976</v>
      </c>
      <c r="BB61">
        <v>1975</v>
      </c>
      <c r="BC61">
        <v>1974</v>
      </c>
      <c r="BD61">
        <v>1973</v>
      </c>
      <c r="BE61">
        <v>1972</v>
      </c>
      <c r="BF61">
        <v>1971</v>
      </c>
      <c r="BG61">
        <v>1970</v>
      </c>
      <c r="BH61">
        <v>1969</v>
      </c>
      <c r="BI61">
        <v>1968</v>
      </c>
      <c r="BJ61">
        <v>1967</v>
      </c>
      <c r="BK61">
        <v>1966</v>
      </c>
      <c r="BL61">
        <v>1965</v>
      </c>
      <c r="BM61">
        <v>1964</v>
      </c>
      <c r="BN61">
        <v>1963</v>
      </c>
      <c r="BO61">
        <v>1962</v>
      </c>
      <c r="BP61">
        <v>1961</v>
      </c>
      <c r="BQ61">
        <v>1960</v>
      </c>
      <c r="BR61">
        <v>1959</v>
      </c>
      <c r="BS61">
        <v>1958</v>
      </c>
      <c r="BT61">
        <v>1957</v>
      </c>
      <c r="BU61">
        <v>1956</v>
      </c>
      <c r="BV61">
        <v>1955</v>
      </c>
      <c r="BW61">
        <v>1954</v>
      </c>
      <c r="BX61">
        <v>1953</v>
      </c>
      <c r="BY61">
        <v>1952</v>
      </c>
      <c r="BZ61">
        <v>1951</v>
      </c>
      <c r="CA61">
        <v>1950</v>
      </c>
    </row>
    <row r="62" spans="1:80" x14ac:dyDescent="0.45">
      <c r="D62" t="str" cm="1">
        <f t="array" ref="D62:BM62">_xlfn._xlws.FILTER(D59:CA59, (D59:CA59 &gt;= C2) * (D59:CA59 &lt;= D2))</f>
        <v>2025</v>
      </c>
      <c r="E62" t="str">
        <v>2024</v>
      </c>
      <c r="F62" t="str">
        <v>2023</v>
      </c>
      <c r="G62" t="str">
        <v>2022</v>
      </c>
      <c r="H62" t="str">
        <v>2021</v>
      </c>
      <c r="I62" t="str">
        <v>2020</v>
      </c>
      <c r="J62" t="str">
        <v>2019</v>
      </c>
      <c r="K62" t="str">
        <v>2018</v>
      </c>
      <c r="L62" t="str">
        <v>2017</v>
      </c>
      <c r="M62" t="str">
        <v>2016</v>
      </c>
      <c r="N62" t="str">
        <v>2015</v>
      </c>
      <c r="O62" t="str">
        <v>2014</v>
      </c>
      <c r="P62" t="str">
        <v>2013</v>
      </c>
      <c r="Q62" t="str">
        <v>2012</v>
      </c>
      <c r="R62" t="str">
        <v>2011</v>
      </c>
      <c r="S62" t="str">
        <v>2010</v>
      </c>
      <c r="T62" t="str">
        <v>2009</v>
      </c>
      <c r="U62" t="str">
        <v>2008</v>
      </c>
      <c r="V62" t="str">
        <v>2007</v>
      </c>
      <c r="W62" t="str">
        <v>2006</v>
      </c>
      <c r="X62" t="str">
        <v>2005</v>
      </c>
      <c r="Y62" t="str">
        <v>2004</v>
      </c>
      <c r="Z62" t="str">
        <v>2003</v>
      </c>
      <c r="AA62" t="str">
        <v>2002</v>
      </c>
      <c r="AB62" t="str">
        <v>2001</v>
      </c>
      <c r="AC62" t="str">
        <v>2000</v>
      </c>
      <c r="AD62" t="str">
        <v>1999</v>
      </c>
      <c r="AE62" t="str">
        <v>1998</v>
      </c>
      <c r="AF62" t="str">
        <v>1997</v>
      </c>
      <c r="AG62" t="str">
        <v>1996</v>
      </c>
      <c r="AH62" t="str">
        <v>1995</v>
      </c>
      <c r="AI62" t="str">
        <v>1994</v>
      </c>
      <c r="AJ62" t="str">
        <v>1993</v>
      </c>
      <c r="AK62" t="str">
        <v>1992</v>
      </c>
      <c r="AL62" t="str">
        <v>1991</v>
      </c>
      <c r="AM62" t="str">
        <v>1990</v>
      </c>
      <c r="AN62" t="str">
        <v>1989</v>
      </c>
      <c r="AO62" t="str">
        <v>1988</v>
      </c>
      <c r="AP62" t="str">
        <v>1987</v>
      </c>
      <c r="AQ62" t="str">
        <v>1986</v>
      </c>
      <c r="AR62" t="str">
        <v>1985</v>
      </c>
      <c r="AS62" t="str">
        <v>1984</v>
      </c>
      <c r="AT62" t="str">
        <v>1983</v>
      </c>
      <c r="AU62" t="str">
        <v>1982</v>
      </c>
      <c r="AV62" t="str">
        <v>1981</v>
      </c>
      <c r="AW62" t="str">
        <v>1980</v>
      </c>
      <c r="AX62" t="str">
        <v>1979</v>
      </c>
      <c r="AY62" t="str">
        <v>1978</v>
      </c>
      <c r="AZ62" t="str">
        <v>1977</v>
      </c>
      <c r="BA62" t="str">
        <v>1976</v>
      </c>
      <c r="BB62" t="str">
        <v>1975</v>
      </c>
      <c r="BC62" t="str">
        <v>1974</v>
      </c>
      <c r="BD62" t="str">
        <v>1973</v>
      </c>
      <c r="BE62" t="str">
        <v>1972</v>
      </c>
      <c r="BF62" t="str">
        <v>1971</v>
      </c>
      <c r="BG62" t="str">
        <v>1970</v>
      </c>
      <c r="BH62" t="str">
        <v>1969</v>
      </c>
      <c r="BI62" t="str">
        <v>1968</v>
      </c>
      <c r="BJ62" t="str">
        <v>1967</v>
      </c>
      <c r="BK62" t="str">
        <v>1966</v>
      </c>
      <c r="BL62" t="str">
        <v>1965</v>
      </c>
      <c r="BM62" t="str">
        <v>1964</v>
      </c>
    </row>
    <row r="63" spans="1:80" x14ac:dyDescent="0.45">
      <c r="D63" cm="1">
        <f t="array" aca="1" ref="D63:BM63" ca="1">_xlfn._xlws.FILTER(D60:CA60, (D59:CA59 &gt;= C2) * (D59:CA59 &lt;= D2))</f>
        <v>0.6</v>
      </c>
      <c r="E63">
        <f ca="1"/>
        <v>0.65580326792764865</v>
      </c>
      <c r="F63">
        <f ca="1"/>
        <v>1.152864113743107</v>
      </c>
      <c r="G63">
        <f ca="1"/>
        <v>1.397521331857694</v>
      </c>
      <c r="H63">
        <f ca="1"/>
        <v>0.72340894846349968</v>
      </c>
      <c r="I63">
        <f ca="1"/>
        <v>8.2609663181253123E-2</v>
      </c>
      <c r="J63">
        <f ca="1"/>
        <v>-0.31688066831214678</v>
      </c>
      <c r="K63">
        <f ca="1"/>
        <v>0.1153896098408986</v>
      </c>
      <c r="L63">
        <f ca="1"/>
        <v>0.21214857186082409</v>
      </c>
      <c r="M63">
        <f ca="1"/>
        <v>-0.24910051293933549</v>
      </c>
      <c r="N63">
        <f ca="1"/>
        <v>-2.7198864486658699E-2</v>
      </c>
      <c r="O63">
        <f ca="1"/>
        <v>1.12174770522088</v>
      </c>
      <c r="P63">
        <f ca="1"/>
        <v>-0.54286108531172883</v>
      </c>
      <c r="Q63">
        <f ca="1"/>
        <v>-0.59107021946256144</v>
      </c>
      <c r="R63">
        <f ca="1"/>
        <v>-0.41873075296372519</v>
      </c>
      <c r="S63">
        <f ca="1"/>
        <v>-0.4504225997243515</v>
      </c>
      <c r="T63">
        <f ca="1"/>
        <v>-0.51121364294411964</v>
      </c>
      <c r="U63">
        <f ca="1"/>
        <v>-0.60253845925559535</v>
      </c>
      <c r="V63">
        <f ca="1"/>
        <v>-0.55303891410642914</v>
      </c>
      <c r="W63">
        <f ca="1"/>
        <v>-0.71062539162610217</v>
      </c>
      <c r="X63">
        <f ca="1"/>
        <v>-0.99528465827210189</v>
      </c>
      <c r="Y63">
        <f ca="1"/>
        <v>-0.98390855871561189</v>
      </c>
      <c r="Z63">
        <f ca="1"/>
        <v>-1.034892952451133</v>
      </c>
      <c r="AA63">
        <f ca="1"/>
        <v>-1.1303514096691689</v>
      </c>
      <c r="AB63">
        <f ca="1"/>
        <v>-0.36861798759867009</v>
      </c>
      <c r="AC63">
        <f ca="1"/>
        <v>2.2664940850941218E-2</v>
      </c>
      <c r="AD63">
        <f ca="1"/>
        <v>0.1028434716182305</v>
      </c>
      <c r="AE63">
        <f ca="1"/>
        <v>0.15341860315510061</v>
      </c>
      <c r="AF63">
        <f ca="1"/>
        <v>0.44642020686069322</v>
      </c>
      <c r="AG63">
        <f ca="1"/>
        <v>0.42578277974444151</v>
      </c>
      <c r="AH63">
        <f ca="1"/>
        <v>0.69188551786821628</v>
      </c>
      <c r="AI63">
        <f ca="1"/>
        <v>0.84820313637860567</v>
      </c>
      <c r="AJ63">
        <f ca="1"/>
        <v>1.091453774449624</v>
      </c>
      <c r="AK63">
        <f ca="1"/>
        <v>1.159673275591093</v>
      </c>
      <c r="AL63">
        <f ca="1"/>
        <v>0.78149807362417967</v>
      </c>
      <c r="AM63">
        <f ca="1"/>
        <v>0.30005588387623788</v>
      </c>
      <c r="AN63">
        <f ca="1"/>
        <v>0.561803586751771</v>
      </c>
      <c r="AO63">
        <f ca="1"/>
        <v>0.65469954227899207</v>
      </c>
      <c r="AP63">
        <f ca="1"/>
        <v>0.63904701400289221</v>
      </c>
      <c r="AQ63">
        <f ca="1"/>
        <v>0.64068335069838223</v>
      </c>
      <c r="AR63">
        <f ca="1"/>
        <v>0.69900504756542281</v>
      </c>
      <c r="AS63">
        <f ca="1"/>
        <v>0.74279300238496215</v>
      </c>
      <c r="AT63">
        <f ca="1"/>
        <v>0.77741777035348536</v>
      </c>
      <c r="AU63">
        <f ca="1"/>
        <v>0.98620802677913988</v>
      </c>
      <c r="AV63">
        <f ca="1"/>
        <v>1.1661812383686541</v>
      </c>
      <c r="AW63">
        <f ca="1"/>
        <v>1.137278237744169</v>
      </c>
      <c r="AX63">
        <f ca="1"/>
        <v>1.279309708211287</v>
      </c>
      <c r="AY63">
        <f ca="1"/>
        <v>1.6442255583405729</v>
      </c>
      <c r="AZ63">
        <f ca="1"/>
        <v>1.682401766387047</v>
      </c>
      <c r="BA63">
        <f ca="1"/>
        <v>2.0001015456367308</v>
      </c>
      <c r="BB63">
        <f ca="1"/>
        <v>2.409657429642857</v>
      </c>
      <c r="BC63">
        <f ca="1"/>
        <v>2.5824093807404291</v>
      </c>
      <c r="BD63">
        <f ca="1"/>
        <v>2.6009417400235328</v>
      </c>
      <c r="BE63">
        <f ca="1"/>
        <v>2.75960161257531</v>
      </c>
      <c r="BF63">
        <f ca="1"/>
        <v>2.8722675672168099</v>
      </c>
      <c r="BG63">
        <f ca="1"/>
        <v>2.6616071759772071</v>
      </c>
      <c r="BH63">
        <f ca="1"/>
        <v>3.0182958398972581</v>
      </c>
      <c r="BI63">
        <f ca="1"/>
        <v>2.9477018700570188</v>
      </c>
      <c r="BJ63">
        <f ca="1"/>
        <v>2.721129686481782</v>
      </c>
      <c r="BK63">
        <f ca="1"/>
        <v>2.5426998169310369</v>
      </c>
      <c r="BL63">
        <f ca="1"/>
        <v>2.7435699544701699</v>
      </c>
      <c r="BM63">
        <f ca="1"/>
        <v>1.561762787267613</v>
      </c>
    </row>
    <row r="65" spans="69:70" x14ac:dyDescent="0.45">
      <c r="BQ65" t="s">
        <v>155</v>
      </c>
      <c r="BR65" s="2">
        <v>2.9203664013543391</v>
      </c>
    </row>
    <row r="66" spans="69:70" x14ac:dyDescent="0.45">
      <c r="BQ66" t="s">
        <v>156</v>
      </c>
      <c r="BR66" s="2">
        <v>3.311011249402926</v>
      </c>
    </row>
    <row r="67" spans="69:70" x14ac:dyDescent="0.45">
      <c r="BQ67" t="s">
        <v>157</v>
      </c>
      <c r="BR67" s="2">
        <v>3.5983169073097852</v>
      </c>
    </row>
    <row r="68" spans="69:70" x14ac:dyDescent="0.45">
      <c r="BQ68" t="s">
        <v>158</v>
      </c>
      <c r="BR68" s="2">
        <v>3.326166235895347</v>
      </c>
    </row>
    <row r="69" spans="69:70" x14ac:dyDescent="0.45">
      <c r="BQ69" t="s">
        <v>159</v>
      </c>
      <c r="BR69" s="2">
        <v>3.2622803275377872</v>
      </c>
    </row>
    <row r="70" spans="69:70" x14ac:dyDescent="0.45">
      <c r="BQ70" t="s">
        <v>160</v>
      </c>
      <c r="BR70" s="2">
        <v>3.0182958398972581</v>
      </c>
    </row>
    <row r="71" spans="69:70" x14ac:dyDescent="0.45">
      <c r="BQ71" t="s">
        <v>161</v>
      </c>
      <c r="BR71" s="2">
        <v>3.743863189914705</v>
      </c>
    </row>
    <row r="72" spans="69:70" x14ac:dyDescent="0.45">
      <c r="BQ72" t="s">
        <v>162</v>
      </c>
      <c r="BR72" s="2">
        <v>3.438780878423688</v>
      </c>
    </row>
    <row r="73" spans="69:70" x14ac:dyDescent="0.45">
      <c r="BQ73" t="s">
        <v>163</v>
      </c>
      <c r="BR73" s="2">
        <v>3.6584008887399548</v>
      </c>
    </row>
    <row r="74" spans="69:70" x14ac:dyDescent="0.45">
      <c r="BQ74" t="s">
        <v>164</v>
      </c>
      <c r="BR74" s="2">
        <v>3.0278125</v>
      </c>
    </row>
    <row r="75" spans="69:70" x14ac:dyDescent="0.45">
      <c r="BQ75" t="s">
        <v>165</v>
      </c>
      <c r="BR75" s="2">
        <v>4.3083744162136757</v>
      </c>
    </row>
    <row r="76" spans="69:70" x14ac:dyDescent="0.45">
      <c r="BQ76" t="s">
        <v>166</v>
      </c>
      <c r="BR76" s="2">
        <v>4.8517211198069656</v>
      </c>
    </row>
    <row r="77" spans="69:70" x14ac:dyDescent="0.45">
      <c r="BQ77" t="s">
        <v>167</v>
      </c>
      <c r="BR77" s="2">
        <v>4.5100121278061653</v>
      </c>
    </row>
    <row r="78" spans="69:70" x14ac:dyDescent="0.45">
      <c r="BQ78" t="s">
        <v>168</v>
      </c>
      <c r="BR78" s="2">
        <v>3.9659999580134859</v>
      </c>
    </row>
    <row r="79" spans="69:70" x14ac:dyDescent="0.45">
      <c r="BQ79" t="s">
        <v>169</v>
      </c>
      <c r="BR79" s="2">
        <v>4.0454518067094316</v>
      </c>
    </row>
    <row r="80" spans="69:70" x14ac:dyDescent="0.45">
      <c r="BQ80" t="s">
        <v>170</v>
      </c>
      <c r="BR80" s="2">
        <v>6.2924830038149464</v>
      </c>
    </row>
    <row r="81" spans="69:70" x14ac:dyDescent="0.45">
      <c r="BQ81" t="s">
        <v>171</v>
      </c>
      <c r="BR81" s="2">
        <v>10.848436932345811</v>
      </c>
    </row>
    <row r="82" spans="69:70" x14ac:dyDescent="0.45">
      <c r="BQ82" t="s">
        <v>172</v>
      </c>
      <c r="BR82" s="2">
        <v>14.24406478759134</v>
      </c>
    </row>
    <row r="83" spans="69:70" x14ac:dyDescent="0.45">
      <c r="BQ83" t="s">
        <v>173</v>
      </c>
      <c r="BR83" s="2">
        <v>16.326810133023031</v>
      </c>
    </row>
    <row r="84" spans="69:70" x14ac:dyDescent="0.45">
      <c r="BQ84" t="s">
        <v>174</v>
      </c>
      <c r="BR84" s="2">
        <v>18.399507866673829</v>
      </c>
    </row>
    <row r="85" spans="69:70" x14ac:dyDescent="0.45">
      <c r="BQ85" t="s">
        <v>175</v>
      </c>
      <c r="BR85" s="2">
        <v>19.77484722486237</v>
      </c>
    </row>
    <row r="86" spans="69:70" x14ac:dyDescent="0.45">
      <c r="BQ86" t="s">
        <v>176</v>
      </c>
      <c r="BR86" s="2">
        <v>20.622660020667102</v>
      </c>
    </row>
    <row r="87" spans="69:70" x14ac:dyDescent="0.45">
      <c r="BQ87" t="s">
        <v>177</v>
      </c>
      <c r="BR87" s="2">
        <v>21.589550681150019</v>
      </c>
    </row>
    <row r="88" spans="69:70" x14ac:dyDescent="0.45">
      <c r="BQ88" t="s">
        <v>178</v>
      </c>
      <c r="BR88" s="2">
        <v>21.65111111111111</v>
      </c>
    </row>
    <row r="89" spans="69:70" x14ac:dyDescent="0.45">
      <c r="BQ89" t="s">
        <v>179</v>
      </c>
      <c r="BR89" s="2">
        <v>19.572452869296349</v>
      </c>
    </row>
  </sheetData>
  <mergeCells count="2">
    <mergeCell ref="A2:B2"/>
    <mergeCell ref="A1:B1"/>
  </mergeCells>
  <dataValidations count="2">
    <dataValidation type="list" allowBlank="1" showInputMessage="1" showErrorMessage="1" sqref="C2:D2" xr:uid="{C8CD9F21-0D8C-416F-8BFE-823BD1578760}">
      <formula1>$D$32:$CA$32</formula1>
    </dataValidation>
    <dataValidation type="list" allowBlank="1" showInputMessage="1" showErrorMessage="1" sqref="A2" xr:uid="{A41182C1-4C8C-40B9-A62B-B4509F051461}">
      <formula1>$A$33:$A$57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ACD3D-CBED-4B6F-8876-2ACF4134927E}">
  <dimension ref="A1:C85"/>
  <sheetViews>
    <sheetView workbookViewId="0">
      <selection activeCell="D4" sqref="D4"/>
    </sheetView>
  </sheetViews>
  <sheetFormatPr defaultRowHeight="14.25" x14ac:dyDescent="0.45"/>
  <sheetData>
    <row r="1" spans="1:3" x14ac:dyDescent="0.45">
      <c r="A1" t="s">
        <v>157</v>
      </c>
      <c r="B1">
        <f>MATCH($A$1,Sheet1!$A$33:$A$57,0)</f>
        <v>3</v>
      </c>
      <c r="C1">
        <f>MATCH(A3,Sheet1!$D$61:$CA$61,0)</f>
        <v>76</v>
      </c>
    </row>
    <row r="3" spans="1:3" x14ac:dyDescent="0.45">
      <c r="A3">
        <v>1950</v>
      </c>
      <c r="B3" s="9">
        <f ca="1">OFFSET(Sheet1!$A$32,MATCH($A$1,Sheet1!$A$33:$A$57,0),MATCH(A3,Sheet1!$D$61:$CA$61,0)+2)</f>
        <v>2.977632628594284</v>
      </c>
    </row>
    <row r="4" spans="1:3" x14ac:dyDescent="0.45">
      <c r="A4">
        <v>1951</v>
      </c>
      <c r="B4" s="9">
        <f ca="1">OFFSET(Sheet1!$A$32,MATCH($A$1,Sheet1!$A$33:$A$57,0),MATCH(A4,Sheet1!$D$61:$CA$61,0)+2)</f>
        <v>2.510713162559107</v>
      </c>
    </row>
    <row r="5" spans="1:3" x14ac:dyDescent="0.45">
      <c r="A5">
        <v>1952</v>
      </c>
      <c r="B5" s="9">
        <f ca="1">OFFSET(Sheet1!$A$32,MATCH($A$1,Sheet1!$A$33:$A$57,0),MATCH(A5,Sheet1!$D$61:$CA$61,0)+2)</f>
        <v>2.1103052371132729</v>
      </c>
    </row>
    <row r="6" spans="1:3" x14ac:dyDescent="0.45">
      <c r="A6">
        <v>1953</v>
      </c>
      <c r="B6" s="9">
        <f ca="1">OFFSET(Sheet1!$A$32,MATCH($A$1,Sheet1!$A$33:$A$57,0),MATCH(A6,Sheet1!$D$61:$CA$61,0)+2)</f>
        <v>0.80219970818089448</v>
      </c>
    </row>
    <row r="7" spans="1:3" x14ac:dyDescent="0.45">
      <c r="A7">
        <v>1954</v>
      </c>
      <c r="B7" s="9">
        <f ca="1">OFFSET(Sheet1!$A$32,MATCH($A$1,Sheet1!$A$33:$A$57,0),MATCH(A7,Sheet1!$D$61:$CA$61,0)+2)</f>
        <v>1.4464352351693941</v>
      </c>
    </row>
    <row r="8" spans="1:3" x14ac:dyDescent="0.45">
      <c r="A8">
        <v>1955</v>
      </c>
      <c r="B8" s="9">
        <f ca="1">OFFSET(Sheet1!$A$32,MATCH($A$1,Sheet1!$A$33:$A$57,0),MATCH(A8,Sheet1!$D$61:$CA$61,0)+2)</f>
        <v>1.1200762399981119</v>
      </c>
    </row>
    <row r="9" spans="1:3" x14ac:dyDescent="0.45">
      <c r="A9">
        <v>1956</v>
      </c>
      <c r="B9" s="9">
        <f ca="1">OFFSET(Sheet1!$A$32,MATCH($A$1,Sheet1!$A$33:$A$57,0),MATCH(A9,Sheet1!$D$61:$CA$61,0)+2)</f>
        <v>1.4141311601427891</v>
      </c>
    </row>
    <row r="10" spans="1:3" x14ac:dyDescent="0.45">
      <c r="A10">
        <v>1957</v>
      </c>
      <c r="B10" s="9">
        <f ca="1">OFFSET(Sheet1!$A$32,MATCH($A$1,Sheet1!$A$33:$A$57,0),MATCH(A10,Sheet1!$D$61:$CA$61,0)+2)</f>
        <v>2.9298802184825981</v>
      </c>
    </row>
    <row r="11" spans="1:3" x14ac:dyDescent="0.45">
      <c r="A11">
        <v>1958</v>
      </c>
      <c r="B11" s="9">
        <f ca="1">OFFSET(Sheet1!$A$32,MATCH($A$1,Sheet1!$A$33:$A$57,0),MATCH(A11,Sheet1!$D$61:$CA$61,0)+2)</f>
        <v>-0.56496333347878691</v>
      </c>
    </row>
    <row r="12" spans="1:3" x14ac:dyDescent="0.45">
      <c r="A12">
        <v>1959</v>
      </c>
      <c r="B12" s="9">
        <f ca="1">OFFSET(Sheet1!$A$32,MATCH($A$1,Sheet1!$A$33:$A$57,0),MATCH(A12,Sheet1!$D$61:$CA$61,0)+2)</f>
        <v>-1.6021674463262989</v>
      </c>
    </row>
    <row r="13" spans="1:3" x14ac:dyDescent="0.45">
      <c r="A13">
        <v>1960</v>
      </c>
      <c r="B13" s="9">
        <f ca="1">OFFSET(Sheet1!$A$32,MATCH($A$1,Sheet1!$A$33:$A$57,0),MATCH(A13,Sheet1!$D$61:$CA$61,0)+2)</f>
        <v>-1.4501388552345349</v>
      </c>
    </row>
    <row r="14" spans="1:3" x14ac:dyDescent="0.45">
      <c r="A14">
        <v>1961</v>
      </c>
      <c r="B14" s="9">
        <f ca="1">OFFSET(Sheet1!$A$32,MATCH($A$1,Sheet1!$A$33:$A$57,0),MATCH(A14,Sheet1!$D$61:$CA$61,0)+2)</f>
        <v>7.7314624158394657E-2</v>
      </c>
    </row>
    <row r="15" spans="1:3" x14ac:dyDescent="0.45">
      <c r="A15">
        <v>1962</v>
      </c>
      <c r="B15" s="9">
        <f ca="1">OFFSET(Sheet1!$A$32,MATCH($A$1,Sheet1!$A$33:$A$57,0),MATCH(A15,Sheet1!$D$61:$CA$61,0)+2)</f>
        <v>0.81308553936408534</v>
      </c>
    </row>
    <row r="16" spans="1:3" x14ac:dyDescent="0.45">
      <c r="A16">
        <v>1963</v>
      </c>
      <c r="B16" s="9">
        <f ca="1">OFFSET(Sheet1!$A$32,MATCH($A$1,Sheet1!$A$33:$A$57,0),MATCH(A16,Sheet1!$D$61:$CA$61,0)+2)</f>
        <v>1.016138633931458</v>
      </c>
    </row>
    <row r="17" spans="1:2" x14ac:dyDescent="0.45">
      <c r="A17">
        <v>1964</v>
      </c>
      <c r="B17" s="9">
        <f ca="1">OFFSET(Sheet1!$A$32,MATCH($A$1,Sheet1!$A$33:$A$57,0),MATCH(A17,Sheet1!$D$61:$CA$61,0)+2)</f>
        <v>2.0708956917422312</v>
      </c>
    </row>
    <row r="18" spans="1:2" x14ac:dyDescent="0.45">
      <c r="A18">
        <v>1965</v>
      </c>
      <c r="B18" s="9">
        <f ca="1">OFFSET(Sheet1!$A$32,MATCH($A$1,Sheet1!$A$33:$A$57,0),MATCH(A18,Sheet1!$D$61:$CA$61,0)+2)</f>
        <v>3.3939910183665321</v>
      </c>
    </row>
    <row r="19" spans="1:2" x14ac:dyDescent="0.45">
      <c r="A19">
        <v>1966</v>
      </c>
      <c r="B19" s="9">
        <f ca="1">OFFSET(Sheet1!$A$32,MATCH($A$1,Sheet1!$A$33:$A$57,0),MATCH(A19,Sheet1!$D$61:$CA$61,0)+2)</f>
        <v>2.4277034188856339</v>
      </c>
    </row>
    <row r="20" spans="1:2" x14ac:dyDescent="0.45">
      <c r="A20">
        <v>1967</v>
      </c>
      <c r="B20" s="9">
        <f ca="1">OFFSET(Sheet1!$A$32,MATCH($A$1,Sheet1!$A$33:$A$57,0),MATCH(A20,Sheet1!$D$61:$CA$61,0)+2)</f>
        <v>2.3976515007680912</v>
      </c>
    </row>
    <row r="21" spans="1:2" x14ac:dyDescent="0.45">
      <c r="A21">
        <v>1968</v>
      </c>
      <c r="B21" s="9">
        <f ca="1">OFFSET(Sheet1!$A$32,MATCH($A$1,Sheet1!$A$33:$A$57,0),MATCH(A21,Sheet1!$D$61:$CA$61,0)+2)</f>
        <v>2.5367916920841158</v>
      </c>
    </row>
    <row r="22" spans="1:2" x14ac:dyDescent="0.45">
      <c r="A22">
        <v>1969</v>
      </c>
      <c r="B22" s="9">
        <f ca="1">OFFSET(Sheet1!$A$32,MATCH($A$1,Sheet1!$A$33:$A$57,0),MATCH(A22,Sheet1!$D$61:$CA$61,0)+2)</f>
        <v>2.4243691753721568</v>
      </c>
    </row>
    <row r="23" spans="1:2" x14ac:dyDescent="0.45">
      <c r="A23">
        <v>1970</v>
      </c>
      <c r="B23" s="9">
        <f ca="1">OFFSET(Sheet1!$A$32,MATCH($A$1,Sheet1!$A$33:$A$57,0),MATCH(A23,Sheet1!$D$61:$CA$61,0)+2)</f>
        <v>2.6315203164633401</v>
      </c>
    </row>
    <row r="24" spans="1:2" x14ac:dyDescent="0.45">
      <c r="A24">
        <v>1971</v>
      </c>
      <c r="B24" s="9">
        <f ca="1">OFFSET(Sheet1!$A$32,MATCH($A$1,Sheet1!$A$33:$A$57,0),MATCH(A24,Sheet1!$D$61:$CA$61,0)+2)</f>
        <v>3.5983169073097852</v>
      </c>
    </row>
    <row r="25" spans="1:2" x14ac:dyDescent="0.45">
      <c r="A25">
        <v>1972</v>
      </c>
      <c r="B25" s="9">
        <f ca="1">OFFSET(Sheet1!$A$32,MATCH($A$1,Sheet1!$A$33:$A$57,0),MATCH(A25,Sheet1!$D$61:$CA$61,0)+2)</f>
        <v>2.4198345363904479</v>
      </c>
    </row>
    <row r="26" spans="1:2" x14ac:dyDescent="0.45">
      <c r="A26">
        <v>1973</v>
      </c>
      <c r="B26" s="9">
        <f ca="1">OFFSET(Sheet1!$A$32,MATCH($A$1,Sheet1!$A$33:$A$57,0),MATCH(A26,Sheet1!$D$61:$CA$61,0)+2)</f>
        <v>2.0559831258649748</v>
      </c>
    </row>
    <row r="27" spans="1:2" x14ac:dyDescent="0.45">
      <c r="A27">
        <v>1974</v>
      </c>
      <c r="B27" s="9">
        <f ca="1">OFFSET(Sheet1!$A$32,MATCH($A$1,Sheet1!$A$33:$A$57,0),MATCH(A27,Sheet1!$D$61:$CA$61,0)+2)</f>
        <v>2.5329521350704862</v>
      </c>
    </row>
    <row r="28" spans="1:2" x14ac:dyDescent="0.45">
      <c r="A28">
        <v>1975</v>
      </c>
      <c r="B28" s="9">
        <f ca="1">OFFSET(Sheet1!$A$32,MATCH($A$1,Sheet1!$A$33:$A$57,0),MATCH(A28,Sheet1!$D$61:$CA$61,0)+2)</f>
        <v>1.921459526886629</v>
      </c>
    </row>
    <row r="29" spans="1:2" x14ac:dyDescent="0.45">
      <c r="A29">
        <v>1976</v>
      </c>
      <c r="B29" s="9">
        <f ca="1">OFFSET(Sheet1!$A$32,MATCH($A$1,Sheet1!$A$33:$A$57,0),MATCH(A29,Sheet1!$D$61:$CA$61,0)+2)</f>
        <v>1.44992895390301</v>
      </c>
    </row>
    <row r="30" spans="1:2" x14ac:dyDescent="0.45">
      <c r="A30">
        <v>1977</v>
      </c>
      <c r="B30" s="9">
        <f ca="1">OFFSET(Sheet1!$A$32,MATCH($A$1,Sheet1!$A$33:$A$57,0),MATCH(A30,Sheet1!$D$61:$CA$61,0)+2)</f>
        <v>0.81505527523474042</v>
      </c>
    </row>
    <row r="31" spans="1:2" x14ac:dyDescent="0.45">
      <c r="A31">
        <v>1978</v>
      </c>
      <c r="B31" s="9">
        <f ca="1">OFFSET(Sheet1!$A$32,MATCH($A$1,Sheet1!$A$33:$A$57,0),MATCH(A31,Sheet1!$D$61:$CA$61,0)+2)</f>
        <v>0.86148123989116177</v>
      </c>
    </row>
    <row r="32" spans="1:2" x14ac:dyDescent="0.45">
      <c r="A32">
        <v>1979</v>
      </c>
      <c r="B32" s="9">
        <f ca="1">OFFSET(Sheet1!$A$32,MATCH($A$1,Sheet1!$A$33:$A$57,0),MATCH(A32,Sheet1!$D$61:$CA$61,0)+2)</f>
        <v>-0.16732841514839131</v>
      </c>
    </row>
    <row r="33" spans="1:2" x14ac:dyDescent="0.45">
      <c r="A33">
        <v>1980</v>
      </c>
      <c r="B33" s="9">
        <f ca="1">OFFSET(Sheet1!$A$32,MATCH($A$1,Sheet1!$A$33:$A$57,0),MATCH(A33,Sheet1!$D$61:$CA$61,0)+2)</f>
        <v>0.23121912575314671</v>
      </c>
    </row>
    <row r="34" spans="1:2" x14ac:dyDescent="0.45">
      <c r="A34">
        <v>1981</v>
      </c>
      <c r="B34" s="9">
        <f ca="1">OFFSET(Sheet1!$A$32,MATCH($A$1,Sheet1!$A$33:$A$57,0),MATCH(A34,Sheet1!$D$61:$CA$61,0)+2)</f>
        <v>3.3295949679060147E-2</v>
      </c>
    </row>
    <row r="35" spans="1:2" x14ac:dyDescent="0.45">
      <c r="A35">
        <v>1982</v>
      </c>
      <c r="B35" s="9">
        <f ca="1">OFFSET(Sheet1!$A$32,MATCH($A$1,Sheet1!$A$33:$A$57,0),MATCH(A35,Sheet1!$D$61:$CA$61,0)+2)</f>
        <v>-0.59698095276225005</v>
      </c>
    </row>
    <row r="36" spans="1:2" x14ac:dyDescent="0.45">
      <c r="A36">
        <v>1983</v>
      </c>
      <c r="B36" s="9">
        <f ca="1">OFFSET(Sheet1!$A$32,MATCH($A$1,Sheet1!$A$33:$A$57,0),MATCH(A36,Sheet1!$D$61:$CA$61,0)+2)</f>
        <v>-2.0912744769246761</v>
      </c>
    </row>
    <row r="37" spans="1:2" x14ac:dyDescent="0.45">
      <c r="A37">
        <v>1984</v>
      </c>
      <c r="B37" s="9">
        <f ca="1">OFFSET(Sheet1!$A$32,MATCH($A$1,Sheet1!$A$33:$A$57,0),MATCH(A37,Sheet1!$D$61:$CA$61,0)+2)</f>
        <v>-1.0165510982364201</v>
      </c>
    </row>
    <row r="38" spans="1:2" x14ac:dyDescent="0.45">
      <c r="A38">
        <v>1985</v>
      </c>
      <c r="B38" s="9">
        <f ca="1">OFFSET(Sheet1!$A$32,MATCH($A$1,Sheet1!$A$33:$A$57,0),MATCH(A38,Sheet1!$D$61:$CA$61,0)+2)</f>
        <v>-1.2321054719156139</v>
      </c>
    </row>
    <row r="39" spans="1:2" x14ac:dyDescent="0.45">
      <c r="A39">
        <v>1986</v>
      </c>
      <c r="B39" s="9">
        <f ca="1">OFFSET(Sheet1!$A$32,MATCH($A$1,Sheet1!$A$33:$A$57,0),MATCH(A39,Sheet1!$D$61:$CA$61,0)+2)</f>
        <v>-1.5768339263539899</v>
      </c>
    </row>
    <row r="40" spans="1:2" x14ac:dyDescent="0.45">
      <c r="A40">
        <v>1987</v>
      </c>
      <c r="B40" s="9">
        <f ca="1">OFFSET(Sheet1!$A$32,MATCH($A$1,Sheet1!$A$33:$A$57,0),MATCH(A40,Sheet1!$D$61:$CA$61,0)+2)</f>
        <v>-1.6419811404110749</v>
      </c>
    </row>
    <row r="41" spans="1:2" x14ac:dyDescent="0.45">
      <c r="A41">
        <v>1988</v>
      </c>
      <c r="B41" s="9">
        <f ca="1">OFFSET(Sheet1!$A$32,MATCH($A$1,Sheet1!$A$33:$A$57,0),MATCH(A41,Sheet1!$D$61:$CA$61,0)+2)</f>
        <v>-1.6029716956043689</v>
      </c>
    </row>
    <row r="42" spans="1:2" x14ac:dyDescent="0.45">
      <c r="A42">
        <v>1989</v>
      </c>
      <c r="B42" s="9">
        <f ca="1">OFFSET(Sheet1!$A$32,MATCH($A$1,Sheet1!$A$33:$A$57,0),MATCH(A42,Sheet1!$D$61:$CA$61,0)+2)</f>
        <v>-1.694393981203115</v>
      </c>
    </row>
    <row r="43" spans="1:2" x14ac:dyDescent="0.45">
      <c r="A43">
        <v>1990</v>
      </c>
      <c r="B43" s="9">
        <f ca="1">OFFSET(Sheet1!$A$32,MATCH($A$1,Sheet1!$A$33:$A$57,0),MATCH(A43,Sheet1!$D$61:$CA$61,0)+2)</f>
        <v>-1.835442343820666</v>
      </c>
    </row>
    <row r="44" spans="1:2" x14ac:dyDescent="0.45">
      <c r="A44">
        <v>1991</v>
      </c>
      <c r="B44" s="9">
        <f ca="1">OFFSET(Sheet1!$A$32,MATCH($A$1,Sheet1!$A$33:$A$57,0),MATCH(A44,Sheet1!$D$61:$CA$61,0)+2)</f>
        <v>-1.751374985606988</v>
      </c>
    </row>
    <row r="45" spans="1:2" x14ac:dyDescent="0.45">
      <c r="A45">
        <v>1992</v>
      </c>
      <c r="B45" s="9">
        <f ca="1">OFFSET(Sheet1!$A$32,MATCH($A$1,Sheet1!$A$33:$A$57,0),MATCH(A45,Sheet1!$D$61:$CA$61,0)+2)</f>
        <v>-0.86030789609907854</v>
      </c>
    </row>
    <row r="46" spans="1:2" x14ac:dyDescent="0.45">
      <c r="A46">
        <v>1993</v>
      </c>
      <c r="B46" s="9">
        <f ca="1">OFFSET(Sheet1!$A$32,MATCH($A$1,Sheet1!$A$33:$A$57,0),MATCH(A46,Sheet1!$D$61:$CA$61,0)+2)</f>
        <v>-0.60657728414426826</v>
      </c>
    </row>
    <row r="47" spans="1:2" x14ac:dyDescent="0.45">
      <c r="A47">
        <v>1994</v>
      </c>
      <c r="B47" s="9">
        <f ca="1">OFFSET(Sheet1!$A$32,MATCH($A$1,Sheet1!$A$33:$A$57,0),MATCH(A47,Sheet1!$D$61:$CA$61,0)+2)</f>
        <v>-0.76365258070717279</v>
      </c>
    </row>
    <row r="48" spans="1:2" x14ac:dyDescent="0.45">
      <c r="A48">
        <v>1995</v>
      </c>
      <c r="B48" s="9">
        <f ca="1">OFFSET(Sheet1!$A$32,MATCH($A$1,Sheet1!$A$33:$A$57,0),MATCH(A48,Sheet1!$D$61:$CA$61,0)+2)</f>
        <v>-9.2181510290248354E-3</v>
      </c>
    </row>
    <row r="49" spans="1:2" x14ac:dyDescent="0.45">
      <c r="A49">
        <v>1996</v>
      </c>
      <c r="B49" s="9">
        <f ca="1">OFFSET(Sheet1!$A$32,MATCH($A$1,Sheet1!$A$33:$A$57,0),MATCH(A49,Sheet1!$D$61:$CA$61,0)+2)</f>
        <v>0.46607251450136011</v>
      </c>
    </row>
    <row r="50" spans="1:2" x14ac:dyDescent="0.45">
      <c r="A50">
        <v>1997</v>
      </c>
      <c r="B50" s="9">
        <f ca="1">OFFSET(Sheet1!$A$32,MATCH($A$1,Sheet1!$A$33:$A$57,0),MATCH(A50,Sheet1!$D$61:$CA$61,0)+2)</f>
        <v>0.14018829513496961</v>
      </c>
    </row>
    <row r="51" spans="1:2" x14ac:dyDescent="0.45">
      <c r="A51">
        <v>1998</v>
      </c>
      <c r="B51" s="9">
        <f ca="1">OFFSET(Sheet1!$A$32,MATCH($A$1,Sheet1!$A$33:$A$57,0),MATCH(A51,Sheet1!$D$61:$CA$61,0)+2)</f>
        <v>0.33235689869308788</v>
      </c>
    </row>
    <row r="52" spans="1:2" x14ac:dyDescent="0.45">
      <c r="A52">
        <v>1999</v>
      </c>
      <c r="B52" s="9">
        <f ca="1">OFFSET(Sheet1!$A$32,MATCH($A$1,Sheet1!$A$33:$A$57,0),MATCH(A52,Sheet1!$D$61:$CA$61,0)+2)</f>
        <v>-8.7064752354726327E-4</v>
      </c>
    </row>
    <row r="53" spans="1:2" x14ac:dyDescent="0.45">
      <c r="A53">
        <v>2000</v>
      </c>
      <c r="B53" s="9">
        <f ca="1">OFFSET(Sheet1!$A$32,MATCH($A$1,Sheet1!$A$33:$A$57,0),MATCH(A53,Sheet1!$D$61:$CA$61,0)+2)</f>
        <v>-0.27291927411673428</v>
      </c>
    </row>
    <row r="54" spans="1:2" x14ac:dyDescent="0.45">
      <c r="A54">
        <v>2001</v>
      </c>
      <c r="B54" s="9">
        <f ca="1">OFFSET(Sheet1!$A$32,MATCH($A$1,Sheet1!$A$33:$A$57,0),MATCH(A54,Sheet1!$D$61:$CA$61,0)+2)</f>
        <v>-0.60389729601098008</v>
      </c>
    </row>
    <row r="55" spans="1:2" x14ac:dyDescent="0.45">
      <c r="A55">
        <v>2002</v>
      </c>
      <c r="B55" s="9">
        <f ca="1">OFFSET(Sheet1!$A$32,MATCH($A$1,Sheet1!$A$33:$A$57,0),MATCH(A55,Sheet1!$D$61:$CA$61,0)+2)</f>
        <v>-1.0935163554098739</v>
      </c>
    </row>
    <row r="56" spans="1:2" x14ac:dyDescent="0.45">
      <c r="A56">
        <v>2003</v>
      </c>
      <c r="B56" s="9">
        <f ca="1">OFFSET(Sheet1!$A$32,MATCH($A$1,Sheet1!$A$33:$A$57,0),MATCH(A56,Sheet1!$D$61:$CA$61,0)+2)</f>
        <v>-0.84637874299423854</v>
      </c>
    </row>
    <row r="57" spans="1:2" x14ac:dyDescent="0.45">
      <c r="A57">
        <v>2004</v>
      </c>
      <c r="B57" s="9">
        <f ca="1">OFFSET(Sheet1!$A$32,MATCH($A$1,Sheet1!$A$33:$A$57,0),MATCH(A57,Sheet1!$D$61:$CA$61,0)+2)</f>
        <v>-0.77191278201820313</v>
      </c>
    </row>
    <row r="58" spans="1:2" x14ac:dyDescent="0.45">
      <c r="A58">
        <v>2005</v>
      </c>
      <c r="B58" s="9">
        <f ca="1">OFFSET(Sheet1!$A$32,MATCH($A$1,Sheet1!$A$33:$A$57,0),MATCH(A58,Sheet1!$D$61:$CA$61,0)+2)</f>
        <v>-0.36695969457024641</v>
      </c>
    </row>
    <row r="59" spans="1:2" x14ac:dyDescent="0.45">
      <c r="A59">
        <v>2006</v>
      </c>
      <c r="B59" s="9">
        <f ca="1">OFFSET(Sheet1!$A$32,MATCH($A$1,Sheet1!$A$33:$A$57,0),MATCH(A59,Sheet1!$D$61:$CA$61,0)+2)</f>
        <v>6.9783256376564726E-2</v>
      </c>
    </row>
    <row r="60" spans="1:2" x14ac:dyDescent="0.45">
      <c r="A60">
        <v>2007</v>
      </c>
      <c r="B60" s="9">
        <f ca="1">OFFSET(Sheet1!$A$32,MATCH($A$1,Sheet1!$A$33:$A$57,0),MATCH(A60,Sheet1!$D$61:$CA$61,0)+2)</f>
        <v>-0.35172559887581922</v>
      </c>
    </row>
    <row r="61" spans="1:2" x14ac:dyDescent="0.45">
      <c r="A61">
        <v>2008</v>
      </c>
      <c r="B61" s="9">
        <f ca="1">OFFSET(Sheet1!$A$32,MATCH($A$1,Sheet1!$A$33:$A$57,0),MATCH(A61,Sheet1!$D$61:$CA$61,0)+2)</f>
        <v>-0.1006454065024118</v>
      </c>
    </row>
    <row r="62" spans="1:2" x14ac:dyDescent="0.45">
      <c r="A62">
        <v>2009</v>
      </c>
      <c r="B62" s="9">
        <f ca="1">OFFSET(Sheet1!$A$32,MATCH($A$1,Sheet1!$A$33:$A$57,0),MATCH(A62,Sheet1!$D$61:$CA$61,0)+2)</f>
        <v>-1.1713262620043139</v>
      </c>
    </row>
    <row r="63" spans="1:2" x14ac:dyDescent="0.45">
      <c r="A63">
        <v>2010</v>
      </c>
      <c r="B63" s="9">
        <f ca="1">OFFSET(Sheet1!$A$32,MATCH($A$1,Sheet1!$A$33:$A$57,0),MATCH(A63,Sheet1!$D$61:$CA$61,0)+2)</f>
        <v>-0.17510392578993161</v>
      </c>
    </row>
    <row r="64" spans="1:2" x14ac:dyDescent="0.45">
      <c r="A64">
        <v>2011</v>
      </c>
      <c r="B64" s="9">
        <f ca="1">OFFSET(Sheet1!$A$32,MATCH($A$1,Sheet1!$A$33:$A$57,0),MATCH(A64,Sheet1!$D$61:$CA$61,0)+2)</f>
        <v>-0.8682130992357201</v>
      </c>
    </row>
    <row r="65" spans="1:2" x14ac:dyDescent="0.45">
      <c r="A65">
        <v>2012</v>
      </c>
      <c r="B65" s="9">
        <f ca="1">OFFSET(Sheet1!$A$32,MATCH($A$1,Sheet1!$A$33:$A$57,0),MATCH(A65,Sheet1!$D$61:$CA$61,0)+2)</f>
        <v>-0.58849853243683026</v>
      </c>
    </row>
    <row r="66" spans="1:2" x14ac:dyDescent="0.45">
      <c r="A66">
        <v>2013</v>
      </c>
      <c r="B66" s="9">
        <f ca="1">OFFSET(Sheet1!$A$32,MATCH($A$1,Sheet1!$A$33:$A$57,0),MATCH(A66,Sheet1!$D$61:$CA$61,0)+2)</f>
        <v>3.4259947420618393E-2</v>
      </c>
    </row>
    <row r="67" spans="1:2" x14ac:dyDescent="0.45">
      <c r="A67">
        <v>2014</v>
      </c>
      <c r="B67" s="9">
        <f ca="1">OFFSET(Sheet1!$A$32,MATCH($A$1,Sheet1!$A$33:$A$57,0),MATCH(A67,Sheet1!$D$61:$CA$61,0)+2)</f>
        <v>0.12137307725548679</v>
      </c>
    </row>
    <row r="68" spans="1:2" x14ac:dyDescent="0.45">
      <c r="A68">
        <v>2015</v>
      </c>
      <c r="B68" s="9">
        <f ca="1">OFFSET(Sheet1!$A$32,MATCH($A$1,Sheet1!$A$33:$A$57,0),MATCH(A68,Sheet1!$D$61:$CA$61,0)+2)</f>
        <v>0.66094663942300291</v>
      </c>
    </row>
    <row r="69" spans="1:2" x14ac:dyDescent="0.45">
      <c r="A69">
        <v>2016</v>
      </c>
      <c r="B69" s="9">
        <f ca="1">OFFSET(Sheet1!$A$32,MATCH($A$1,Sheet1!$A$33:$A$57,0),MATCH(A69,Sheet1!$D$61:$CA$61,0)+2)</f>
        <v>0.77615384615384686</v>
      </c>
    </row>
    <row r="70" spans="1:2" x14ac:dyDescent="0.45">
      <c r="A70">
        <v>2017</v>
      </c>
      <c r="B70" s="9">
        <f ca="1">OFFSET(Sheet1!$A$32,MATCH($A$1,Sheet1!$A$33:$A$57,0),MATCH(A70,Sheet1!$D$61:$CA$61,0)+2)</f>
        <v>0.84153846153846101</v>
      </c>
    </row>
    <row r="71" spans="1:2" x14ac:dyDescent="0.45">
      <c r="A71">
        <v>2018</v>
      </c>
      <c r="B71" s="9">
        <f ca="1">OFFSET(Sheet1!$A$32,MATCH($A$1,Sheet1!$A$33:$A$57,0),MATCH(A71,Sheet1!$D$61:$CA$61,0)+2)</f>
        <v>0.84066414358968544</v>
      </c>
    </row>
    <row r="72" spans="1:2" x14ac:dyDescent="0.45">
      <c r="A72">
        <v>2019</v>
      </c>
      <c r="B72" s="9">
        <f ca="1">OFFSET(Sheet1!$A$32,MATCH($A$1,Sheet1!$A$33:$A$57,0),MATCH(A72,Sheet1!$D$61:$CA$61,0)+2)</f>
        <v>0.89054938879179302</v>
      </c>
    </row>
    <row r="73" spans="1:2" x14ac:dyDescent="0.45">
      <c r="A73">
        <v>2020</v>
      </c>
      <c r="B73" s="9">
        <f ca="1">OFFSET(Sheet1!$A$32,MATCH($A$1,Sheet1!$A$33:$A$57,0),MATCH(A73,Sheet1!$D$61:$CA$61,0)+2)</f>
        <v>1.5424585564544031</v>
      </c>
    </row>
    <row r="74" spans="1:2" x14ac:dyDescent="0.45">
      <c r="A74">
        <v>2021</v>
      </c>
      <c r="B74" s="9">
        <f ca="1">OFFSET(Sheet1!$A$32,MATCH($A$1,Sheet1!$A$33:$A$57,0),MATCH(A74,Sheet1!$D$61:$CA$61,0)+2)</f>
        <v>1.524134108308882</v>
      </c>
    </row>
    <row r="75" spans="1:2" x14ac:dyDescent="0.45">
      <c r="A75">
        <v>2022</v>
      </c>
      <c r="B75" s="9">
        <f ca="1">OFFSET(Sheet1!$A$32,MATCH($A$1,Sheet1!$A$33:$A$57,0),MATCH(A75,Sheet1!$D$61:$CA$61,0)+2)</f>
        <v>1.675928783597916</v>
      </c>
    </row>
    <row r="76" spans="1:2" x14ac:dyDescent="0.45">
      <c r="A76">
        <v>2023</v>
      </c>
      <c r="B76" s="9">
        <f ca="1">OFFSET(Sheet1!$A$32,MATCH($A$1,Sheet1!$A$33:$A$57,0),MATCH(A76,Sheet1!$D$61:$CA$61,0)+2)</f>
        <v>1.61766117902998</v>
      </c>
    </row>
    <row r="77" spans="1:2" x14ac:dyDescent="0.45">
      <c r="A77">
        <v>2024</v>
      </c>
      <c r="B77" s="9">
        <f ca="1">OFFSET(Sheet1!$A$32,MATCH($A$1,Sheet1!$A$33:$A$57,0),MATCH(A77,Sheet1!$D$61:$CA$61,0)+2)</f>
        <v>2.0346685859475602</v>
      </c>
    </row>
    <row r="78" spans="1:2" x14ac:dyDescent="0.45">
      <c r="A78">
        <v>2025</v>
      </c>
      <c r="B78" s="9">
        <f ca="1">OFFSET(Sheet1!$A$32,MATCH($A$1,Sheet1!$A$33:$A$57,0),MATCH(A78,Sheet1!$D$61:$CA$61,0)+2)</f>
        <v>2.4</v>
      </c>
    </row>
    <row r="79" spans="1:2" x14ac:dyDescent="0.45">
      <c r="A79">
        <v>2026</v>
      </c>
      <c r="B79" s="9" t="e">
        <f ca="1">OFFSET(Sheet1!$A$32,MATCH($A$1,Sheet1!$A$33:$A$57,0),MATCH(A79,Sheet1!$D$61:$CA$61,0)+2)</f>
        <v>#N/A</v>
      </c>
    </row>
    <row r="80" spans="1:2" x14ac:dyDescent="0.45">
      <c r="A80">
        <v>2027</v>
      </c>
      <c r="B80" s="9" t="e">
        <f ca="1">OFFSET(Sheet1!$A$32,MATCH($A$1,Sheet1!$A$33:$A$57,0),MATCH(A80,Sheet1!$D$61:$CA$61,0)+2)</f>
        <v>#N/A</v>
      </c>
    </row>
    <row r="81" spans="1:2" x14ac:dyDescent="0.45">
      <c r="A81">
        <v>2028</v>
      </c>
      <c r="B81" s="9" t="e">
        <f ca="1">OFFSET(Sheet1!$A$32,MATCH($A$1,Sheet1!$A$33:$A$57,0),MATCH(A81,Sheet1!$D$61:$CA$61,0)+2)</f>
        <v>#N/A</v>
      </c>
    </row>
    <row r="82" spans="1:2" x14ac:dyDescent="0.45">
      <c r="A82">
        <v>2029</v>
      </c>
      <c r="B82" s="9" t="e">
        <f ca="1">OFFSET(Sheet1!$A$32,MATCH($A$1,Sheet1!$A$33:$A$57,0),MATCH(A82,Sheet1!$D$61:$CA$61,0)+2)</f>
        <v>#N/A</v>
      </c>
    </row>
    <row r="83" spans="1:2" x14ac:dyDescent="0.45">
      <c r="A83">
        <v>2030</v>
      </c>
      <c r="B83" s="9" t="e">
        <f ca="1">OFFSET(Sheet1!$A$32,MATCH($A$1,Sheet1!$A$33:$A$57,0),MATCH(A83,Sheet1!$D$61:$CA$61,0)+2)</f>
        <v>#N/A</v>
      </c>
    </row>
    <row r="84" spans="1:2" x14ac:dyDescent="0.45">
      <c r="A84">
        <v>2031</v>
      </c>
      <c r="B84" s="9" t="e">
        <f ca="1">OFFSET(Sheet1!$A$32,MATCH($A$1,Sheet1!$A$33:$A$57,0),MATCH(A84,Sheet1!$D$61:$CA$61,0)+2)</f>
        <v>#N/A</v>
      </c>
    </row>
    <row r="85" spans="1:2" x14ac:dyDescent="0.45">
      <c r="A85">
        <v>2032</v>
      </c>
      <c r="B85" s="9" t="e">
        <f ca="1">OFFSET(Sheet1!$A$32,MATCH($A$1,Sheet1!$A$33:$A$57,0),MATCH(A85,Sheet1!$D$61:$CA$61,0)+2)</f>
        <v>#N/A</v>
      </c>
    </row>
  </sheetData>
  <dataValidations count="1">
    <dataValidation type="list" allowBlank="1" showInputMessage="1" showErrorMessage="1" sqref="A1" xr:uid="{A41182C1-4C8C-40B9-A62B-B4509F051461}">
      <formula1>$A$33:$A$57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timeseries_yearmax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Angelos Gakis</cp:lastModifiedBy>
  <dcterms:created xsi:type="dcterms:W3CDTF">2026-01-25T11:55:16Z</dcterms:created>
  <dcterms:modified xsi:type="dcterms:W3CDTF">2026-03-11T13:14:06Z</dcterms:modified>
</cp:coreProperties>
</file>